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ases" sheetId="2" state="visible" r:id="rId2"/>
    <sheet xmlns:r="http://schemas.openxmlformats.org/officeDocument/2006/relationships" name="Execution Summary" sheetId="3" state="visible" r:id="rId3"/>
    <sheet xmlns:r="http://schemas.openxmlformats.org/officeDocument/2006/relationships" name="Test Data" sheetId="4" state="visible" r:id="rId4"/>
    <sheet xmlns:r="http://schemas.openxmlformats.org/officeDocument/2006/relationships" name="Traceability Matrix" sheetId="5" state="visible" r:id="rId5"/>
    <sheet xmlns:r="http://schemas.openxmlformats.org/officeDocument/2006/relationships" name="API Failure Matrix" sheetId="6" state="visible" r:id="rId6"/>
    <sheet xmlns:r="http://schemas.openxmlformats.org/officeDocument/2006/relationships" name="Defect Lo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FFFFFF"/>
      <sz val="16"/>
    </font>
    <font>
      <i val="1"/>
      <color rgb="00666666"/>
    </font>
    <font>
      <b val="1"/>
      <color rgb="00FFFFFF"/>
    </font>
    <font>
      <color rgb="00000000"/>
    </font>
    <font>
      <color rgb="000000FF"/>
    </font>
    <font>
      <b val="1"/>
      <color rgb="00FFFFFF"/>
      <sz val="18"/>
    </font>
    <font>
      <b val="1"/>
      <color rgb="001F4E78"/>
      <sz val="13"/>
    </font>
  </fonts>
  <fills count="4">
    <fill>
      <patternFill/>
    </fill>
    <fill>
      <patternFill patternType="gray125"/>
    </fill>
    <fill>
      <patternFill patternType="solid">
        <fgColor rgb="001F4E78"/>
      </patternFill>
    </fill>
    <fill>
      <patternFill patternType="solid">
        <fgColor rgb="00FAFAFA"/>
      </patternFill>
    </fill>
  </fills>
  <borders count="3">
    <border>
      <left/>
      <right/>
      <top/>
      <bottom/>
      <diagonal/>
    </border>
    <border>
      <top style="medium">
        <color rgb="00305496"/>
      </top>
      <bottom style="medium">
        <color rgb="00305496"/>
      </bottom>
    </border>
    <border>
      <bottom style="thin">
        <color rgb="00D9E2F3"/>
      </bottom>
    </border>
  </borders>
  <cellStyleXfs count="1">
    <xf numFmtId="0" fontId="0" fillId="0" borderId="0"/>
  </cellStyleXfs>
  <cellXfs count="16">
    <xf numFmtId="0" fontId="0" fillId="0" borderId="0" pivotButton="0" quotePrefix="0" xfId="0"/>
    <xf numFmtId="0" fontId="6" fillId="2" borderId="2" applyAlignment="1" pivotButton="0" quotePrefix="0" xfId="0">
      <alignment horizontal="center"/>
    </xf>
    <xf numFmtId="0" fontId="7" fillId="0" borderId="2" pivotButton="0" quotePrefix="0" xfId="0"/>
    <xf numFmtId="0" fontId="0" fillId="0" borderId="2" applyAlignment="1" pivotButton="0" quotePrefix="0" xfId="0">
      <alignment vertical="top" wrapText="1"/>
    </xf>
    <xf numFmtId="0" fontId="0" fillId="0" borderId="2" pivotButton="0" quotePrefix="0" xfId="0"/>
    <xf numFmtId="0" fontId="1" fillId="2" borderId="2" applyAlignment="1" pivotButton="0" quotePrefix="0" xfId="0">
      <alignment horizontal="center"/>
    </xf>
    <xf numFmtId="0" fontId="2" fillId="0" borderId="2" applyAlignment="1" pivotButton="0" quotePrefix="0" xfId="0">
      <alignment wrapText="1"/>
    </xf>
    <xf numFmtId="0" fontId="3" fillId="2" borderId="2" applyAlignment="1" pivotButton="0" quotePrefix="0" xfId="0">
      <alignment horizontal="center" vertical="center" wrapText="1"/>
    </xf>
    <xf numFmtId="0" fontId="4" fillId="0" borderId="2" applyAlignment="1" pivotButton="0" quotePrefix="0" xfId="0">
      <alignment vertical="top" wrapText="1"/>
    </xf>
    <xf numFmtId="0" fontId="5" fillId="0"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3" fillId="2" borderId="2" pivotButton="0" quotePrefix="0" xfId="0"/>
    <xf numFmtId="164" fontId="0" fillId="0" borderId="2" applyAlignment="1" pivotButton="0" quotePrefix="0" xfId="0">
      <alignment vertical="top" wrapText="1"/>
    </xf>
    <xf numFmtId="0" fontId="3" fillId="2" borderId="2" applyAlignment="1" pivotButton="0" quotePrefix="0" xfId="0">
      <alignment horizontal="center"/>
    </xf>
    <xf numFmtId="0" fontId="3" fillId="2" borderId="2" applyAlignment="1" pivotButton="0" quotePrefix="0" xfId="0">
      <alignment horizontal="center"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Test Cases by Priority</a:t>
            </a:r>
          </a:p>
        </rich>
      </tx>
    </title>
    <plotArea>
      <barChart>
        <barDir val="col"/>
        <grouping val="clustered"/>
        <ser>
          <idx val="0"/>
          <order val="0"/>
          <tx>
            <strRef>
              <f>'Execution Summary'!F3</f>
            </strRef>
          </tx>
          <spPr>
            <a:ln xmlns:a="http://schemas.openxmlformats.org/drawingml/2006/main">
              <a:prstDash val="solid"/>
            </a:ln>
          </spPr>
          <cat>
            <numRef>
              <f>'Execution Summary'!$E$4:$E$7</f>
            </numRef>
          </cat>
          <val>
            <numRef>
              <f>'Execution Summary'!$F$4:$F$7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Priority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Execution Status Distribution</a:t>
            </a:r>
          </a:p>
        </rich>
      </tx>
    </title>
    <plotArea>
      <pieChart>
        <varyColors val="1"/>
        <ser>
          <idx val="0"/>
          <order val="0"/>
          <tx>
            <strRef>
              <f>'Execution Summary'!I3</f>
            </strRef>
          </tx>
          <spPr>
            <a:ln xmlns:a="http://schemas.openxmlformats.org/drawingml/2006/main">
              <a:prstDash val="solid"/>
            </a:ln>
          </spPr>
          <cat>
            <numRef>
              <f>'Execution Summary'!$H$4:$H$7</f>
            </numRef>
          </cat>
          <val>
            <numRef>
              <f>'Execution Summary'!$I$4:$I$7</f>
            </numRef>
          </val>
        </ser>
        <firstSliceAng val="0"/>
      </pieChart>
    </plotArea>
    <legend>
      <legendPos val="r"/>
    </legend>
    <plotVisOnly val="1"/>
    <dispBlanksAs val="gap"/>
  </chart>
</chartSpace>
</file>

<file path=xl/comments/comment1.xml><?xml version="1.0" encoding="utf-8"?>
<comments xmlns="http://schemas.openxmlformats.org/spreadsheetml/2006/main">
  <authors>
    <author>M365 Copilot</author>
  </authors>
  <commentList>
    <comment ref="A4" authorId="0" shapeId="0">
      <text>
        <t>Unique test case identifier.</t>
      </text>
    </comment>
    <comment ref="F4" authorId="0" shapeId="0">
      <text>
        <t>Update this field during execution.</t>
      </text>
    </comment>
    <comment ref="I4" authorId="0" shapeId="0">
      <text>
        <t>Use dropdown values to update execution status.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9</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25</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AlertWedgeTestCases" displayName="AlertWedgeTestCases" ref="A4:J84" headerRowCount="1">
  <autoFilter ref="A4:J84"/>
  <tableColumns count="10">
    <tableColumn id="1" name="ID"/>
    <tableColumn id="2" name="Title"/>
    <tableColumn id="3" name="Pre-conditions"/>
    <tableColumn id="4" name="Steps"/>
    <tableColumn id="5" name="Expected Result"/>
    <tableColumn id="6" name="Actual Result"/>
    <tableColumn id="7" name="Test Data"/>
    <tableColumn id="8" name="Priority"/>
    <tableColumn id="9" name="Test Status"/>
    <tableColumn id="10" name="Comments"/>
  </tableColumns>
  <tableStyleInfo name="TableStyleMedium2" showFirstColumn="0" showLastColumn="0" showRowStripes="0" showColumnStripes="0"/>
</table>
</file>

<file path=xl/tables/table2.xml><?xml version="1.0" encoding="utf-8"?>
<table xmlns="http://schemas.openxmlformats.org/spreadsheetml/2006/main" id="2" name="TestDataTable" displayName="TestDataTable" ref="A1:F11" headerRowCount="1">
  <autoFilter ref="A1:F11"/>
  <tableColumns count="6">
    <tableColumn id="1" name="Data Set ID"/>
    <tableColumn id="2" name="Source"/>
    <tableColumn id="3" name="Scenario"/>
    <tableColumn id="4" name="Sample Payload / Values"/>
    <tableColumn id="5" name="Expected Use"/>
    <tableColumn id="6" name="Notes"/>
  </tableColumns>
</table>
</file>

<file path=xl/tables/table3.xml><?xml version="1.0" encoding="utf-8"?>
<table xmlns="http://schemas.openxmlformats.org/spreadsheetml/2006/main" id="3" name="TraceabilityTable" displayName="TraceabilityTable" ref="A1:D11" headerRowCount="1">
  <autoFilter ref="A1:D11"/>
  <tableColumns count="4">
    <tableColumn id="1" name="Workflow Area"/>
    <tableColumn id="2" name="Requirement / Control Objective"/>
    <tableColumn id="3" name="Related Test Case IDs"/>
    <tableColumn id="4" name="Coverage Notes"/>
  </tableColumns>
</table>
</file>

<file path=xl/tables/table4.xml><?xml version="1.0" encoding="utf-8"?>
<table xmlns="http://schemas.openxmlformats.org/spreadsheetml/2006/main" id="4" name="APIFailureMatrix" displayName="APIFailureMatrix" ref="A1:E8" headerRowCount="1">
  <autoFilter ref="A1:E8"/>
  <tableColumns count="5">
    <tableColumn id="1" name="Integration"/>
    <tableColumn id="2" name="Failure Mode"/>
    <tableColumn id="3" name="Expected Handling"/>
    <tableColumn id="4" name="Related Test Case IDs"/>
    <tableColumn id="5" name="Priority"/>
  </tableColumns>
</table>
</file>

<file path=xl/tables/table5.xml><?xml version="1.0" encoding="utf-8"?>
<table xmlns="http://schemas.openxmlformats.org/spreadsheetml/2006/main" id="5" name="DefectLogTable" displayName="DefectLogTable" ref="A1:K16" headerRowCount="1">
  <autoFilter ref="A1:K16"/>
  <tableColumns count="11">
    <tableColumn id="1" name="Defect ID"/>
    <tableColumn id="2" name="Linked Test Case ID"/>
    <tableColumn id="3" name="Title"/>
    <tableColumn id="4" name="Severity"/>
    <tableColumn id="5" name="Status"/>
    <tableColumn id="6" name="Steps to Reproduce"/>
    <tableColumn id="7" name="Expected Result"/>
    <tableColumn id="8" name="Actual Result"/>
    <tableColumn id="9" name="Owner"/>
    <tableColumn id="10" name="Target Fix Date"/>
    <tableColumn id="11" name="Comments"/>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Alert Wedge QA Workbook</t>
        </is>
      </c>
    </row>
    <row r="2"/>
    <row r="3">
      <c r="A3" s="2" t="inlineStr">
        <is>
          <t>Purpose</t>
        </is>
      </c>
    </row>
    <row r="4">
      <c r="A4" s="3" t="inlineStr">
        <is>
          <t>This workbook provides detailed QA coverage for the Alert Wedge workflow, including normal path, edge cases, API failures, data quality scenarios, de-escalation, GCC context gathering, and Jira ticket classification.</t>
        </is>
      </c>
    </row>
    <row r="5"/>
    <row r="6"/>
    <row r="7">
      <c r="A7" s="2" t="inlineStr">
        <is>
          <t>Workflow Scope</t>
        </is>
      </c>
      <c r="D7" s="2" t="inlineStr">
        <is>
          <t>Jira Incident Types Covered</t>
        </is>
      </c>
    </row>
    <row r="8">
      <c r="A8" s="4" t="inlineStr">
        <is>
          <t>• Start</t>
        </is>
      </c>
      <c r="D8" s="4" t="inlineStr">
        <is>
          <t>• Alert / Event Driven</t>
        </is>
      </c>
    </row>
    <row r="9">
      <c r="A9" s="4" t="inlineStr">
        <is>
          <t>• Data Monitoring via PaaS and Datadog</t>
        </is>
      </c>
      <c r="D9" s="4" t="inlineStr">
        <is>
          <t>• Alert / Event Driven (de-escalated)</t>
        </is>
      </c>
    </row>
    <row r="10">
      <c r="A10" s="4" t="inlineStr">
        <is>
          <t>• Alerts Correlation &amp; Summary</t>
        </is>
      </c>
      <c r="D10" s="4" t="inlineStr">
        <is>
          <t>• De-escalated (DataDog detected)</t>
        </is>
      </c>
    </row>
    <row r="11">
      <c r="A11" s="4" t="inlineStr">
        <is>
          <t>• Alert Triage &amp; Auto-De-escalation</t>
        </is>
      </c>
      <c r="D11" s="4" t="inlineStr">
        <is>
          <t>• De-escalated</t>
        </is>
      </c>
    </row>
    <row r="12">
      <c r="A12" s="4" t="inlineStr">
        <is>
          <t>• Decision: Valid Issue / Valid Alert?</t>
        </is>
      </c>
      <c r="D12" s="4" t="inlineStr">
        <is>
          <t>• Funding Ticket</t>
        </is>
      </c>
    </row>
    <row r="13">
      <c r="A13" s="4" t="inlineStr">
        <is>
          <t>• Close / Ignore for invalid alerts</t>
        </is>
      </c>
      <c r="D13" s="4" t="inlineStr">
        <is>
          <t>• Incident Ticket - ODM</t>
        </is>
      </c>
    </row>
    <row r="14">
      <c r="A14" s="4" t="inlineStr">
        <is>
          <t>• Context gathering via GCC source of alert for valid alerts</t>
        </is>
      </c>
      <c r="D14" s="4" t="inlineStr">
        <is>
          <t>• Tracking Ticket - ODM</t>
        </is>
      </c>
    </row>
    <row r="15">
      <c r="A15" s="4" t="inlineStr">
        <is>
          <t>• Jira ticket classification and creation</t>
        </is>
      </c>
    </row>
    <row r="16"/>
    <row r="17"/>
    <row r="18">
      <c r="A18" s="2" t="inlineStr">
        <is>
          <t>How to Use</t>
        </is>
      </c>
    </row>
    <row r="19">
      <c r="A19" s="4" t="inlineStr">
        <is>
          <t>• Update Actual Result during execution.</t>
        </is>
      </c>
    </row>
    <row r="20">
      <c r="A20" s="4" t="inlineStr">
        <is>
          <t>• Set Test Status using the dropdown in the Test Cases sheet.</t>
        </is>
      </c>
    </row>
    <row r="21">
      <c r="A21" s="4" t="inlineStr">
        <is>
          <t>• Use Defect Log to record failed case defects.</t>
        </is>
      </c>
    </row>
    <row r="22">
      <c r="A22" s="4" t="inlineStr">
        <is>
          <t>• Use Execution Summary to track progress and coverage.</t>
        </is>
      </c>
    </row>
    <row r="23"/>
    <row r="24">
      <c r="A24" s="4" t="inlineStr">
        <is>
          <t>Generated On</t>
        </is>
      </c>
      <c r="B24" s="4" t="inlineStr">
        <is>
          <t>2026-07-16 03:03</t>
        </is>
      </c>
    </row>
    <row r="25">
      <c r="A25" s="4" t="inlineStr">
        <is>
          <t>Prepared For</t>
        </is>
      </c>
      <c r="B25" s="4" t="inlineStr">
        <is>
          <t>Alert Wedge QA Execution</t>
        </is>
      </c>
    </row>
  </sheetData>
  <mergeCells count="2">
    <mergeCell ref="A4: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
  <sheetViews>
    <sheetView showGridLines="0" workbookViewId="0">
      <pane ySplit="4" topLeftCell="A5" activePane="bottomLeft" state="frozen"/>
      <selection pane="bottomLeft" activeCell="A1" sqref="A1"/>
    </sheetView>
  </sheetViews>
  <sheetFormatPr baseColWidth="8" defaultRowHeight="15"/>
  <cols>
    <col width="12" customWidth="1" min="1" max="1"/>
    <col width="42" customWidth="1" min="2" max="2"/>
    <col width="42" customWidth="1" min="3" max="3"/>
    <col width="55" customWidth="1" min="4" max="4"/>
    <col width="62" customWidth="1" min="5" max="5"/>
    <col width="28" customWidth="1" min="6" max="6"/>
    <col width="36" customWidth="1" min="7" max="7"/>
    <col width="16" customWidth="1" min="8" max="8"/>
    <col width="18" customWidth="1" min="9" max="9"/>
    <col width="34" customWidth="1" min="10" max="10"/>
  </cols>
  <sheetData>
    <row r="1" ht="26" customHeight="1">
      <c r="A1" s="5" t="inlineStr">
        <is>
          <t>Alert Wedge QA Workbook - Detailed Test Cases</t>
        </is>
      </c>
    </row>
    <row r="2" ht="36" customHeight="1">
      <c r="A2" s="6" t="inlineStr">
        <is>
          <t>Workflow: Start → Data Monitoring (PaaS / Datadog) → Alerts Correlation &amp; Summary → Alert Triage &amp; Auto De-escalation → Valid Alert Decision → Close/Ignore or GCC Context Gathering → Jira Classification</t>
        </is>
      </c>
    </row>
    <row r="3"/>
    <row r="4">
      <c r="A4" s="7" t="inlineStr">
        <is>
          <t>ID</t>
        </is>
      </c>
      <c r="B4" s="7" t="inlineStr">
        <is>
          <t>Title</t>
        </is>
      </c>
      <c r="C4" s="7" t="inlineStr">
        <is>
          <t>Pre-conditions</t>
        </is>
      </c>
      <c r="D4" s="7" t="inlineStr">
        <is>
          <t>Steps</t>
        </is>
      </c>
      <c r="E4" s="7" t="inlineStr">
        <is>
          <t>Expected Result</t>
        </is>
      </c>
      <c r="F4" s="7" t="inlineStr">
        <is>
          <t>Actual Result</t>
        </is>
      </c>
      <c r="G4" s="7" t="inlineStr">
        <is>
          <t>Test Data</t>
        </is>
      </c>
      <c r="H4" s="7" t="inlineStr">
        <is>
          <t>Priority</t>
        </is>
      </c>
      <c r="I4" s="7" t="inlineStr">
        <is>
          <t>Test Status</t>
        </is>
      </c>
      <c r="J4" s="7" t="inlineStr">
        <is>
          <t>Comments</t>
        </is>
      </c>
    </row>
    <row r="5" ht="95" customHeight="1">
      <c r="A5" s="8" t="inlineStr">
        <is>
          <t>AW-001</t>
        </is>
      </c>
      <c r="B5" s="8" t="inlineStr">
        <is>
          <t>Verify alert ingestion from PaaS monitoring</t>
        </is>
      </c>
      <c r="C5" s="8" t="inlineStr">
        <is>
          <t>• PaaS monitoring is enabled for target service
• Alert Wedge ingestion endpoint is reachable
• Test service is approved for alert simulation</t>
        </is>
      </c>
      <c r="D5" s="8" t="inlineStr">
        <is>
          <t>1. Trigger a controlled PaaS service outage or error condition
2. Confirm PaaS generates an alert event
3. Allow Alert Wedge to ingest the event
4. Review the alert record in the Alert Wedge pipeline</t>
        </is>
      </c>
      <c r="E5" s="8" t="inlineStr">
        <is>
          <t>Alert Wedge receives the PaaS alert with source, timestamp, severity, service name, environment, and initial message populated. No duplicate alert is created.</t>
        </is>
      </c>
      <c r="F5" s="9" t="inlineStr"/>
      <c r="G5" s="8" t="inlineStr">
        <is>
          <t>Source=PaaS; Severity=Critical; Service=checkout-api; Environment=prod-like</t>
        </is>
      </c>
      <c r="H5" s="8" t="inlineStr">
        <is>
          <t>High</t>
        </is>
      </c>
      <c r="I5" s="9" t="inlineStr">
        <is>
          <t>Not Executed</t>
        </is>
      </c>
      <c r="J5" s="9" t="inlineStr">
        <is>
          <t>Core happy path for PaaS source ingestion</t>
        </is>
      </c>
    </row>
    <row r="6" ht="95" customHeight="1">
      <c r="A6" s="10" t="inlineStr">
        <is>
          <t>AW-002</t>
        </is>
      </c>
      <c r="B6" s="10" t="inlineStr">
        <is>
          <t>Verify alert ingestion from Datadog</t>
        </is>
      </c>
      <c r="C6" s="10" t="inlineStr">
        <is>
          <t>• Datadog integration is configured
• Datadog API credentials are valid
• A synthetic monitor or metric threshold is available</t>
        </is>
      </c>
      <c r="D6" s="10" t="inlineStr">
        <is>
          <t>1. Trigger a Datadog monitor threshold breach
2. Confirm Datadog emits the alert
3. Wait for Alert Wedge ingestion
4. Verify alert fields received from Datadog</t>
        </is>
      </c>
      <c r="E6" s="10" t="inlineStr">
        <is>
          <t>Datadog alert is ingested successfully with monitor ID, metric, threshold, current value, timestamp, tags, and linked service information.</t>
        </is>
      </c>
      <c r="F6" s="11" t="inlineStr"/>
      <c r="G6" s="10" t="inlineStr">
        <is>
          <t>Source=Datadog; Metric=cpu.utilization; Threshold=&gt;95%; Current=98%</t>
        </is>
      </c>
      <c r="H6" s="10" t="inlineStr">
        <is>
          <t>High</t>
        </is>
      </c>
      <c r="I6" s="11" t="inlineStr">
        <is>
          <t>Not Executed</t>
        </is>
      </c>
      <c r="J6" s="11" t="inlineStr">
        <is>
          <t>Validates Datadog inbound path</t>
        </is>
      </c>
    </row>
    <row r="7" ht="95" customHeight="1">
      <c r="A7" s="8" t="inlineStr">
        <is>
          <t>AW-003</t>
        </is>
      </c>
      <c r="B7" s="8" t="inlineStr">
        <is>
          <t>Verify duplicate correlation for same source alerts</t>
        </is>
      </c>
      <c r="C7" s="8" t="inlineStr">
        <is>
          <t>• Correlation service is enabled
• Duplicate event detection rule is configured</t>
        </is>
      </c>
      <c r="D7" s="8" t="inlineStr">
        <is>
          <t>1. Trigger the same alert three times using the same source and alert key
2. Wait for correlation window to complete
3. Review the correlated alert summary
4. Check downstream ticket creation status</t>
        </is>
      </c>
      <c r="E7" s="8" t="inlineStr">
        <is>
          <t>Duplicate alerts are grouped into one correlated incident. The duplicate count is updated and only one downstream ticket is eligible for creation.</t>
        </is>
      </c>
      <c r="F7" s="9" t="inlineStr"/>
      <c r="G7" s="8" t="inlineStr">
        <is>
          <t>Same alert_key=cpu-prod-001 sent 3 times within 5 minutes</t>
        </is>
      </c>
      <c r="H7" s="8" t="inlineStr">
        <is>
          <t>High</t>
        </is>
      </c>
      <c r="I7" s="9" t="inlineStr">
        <is>
          <t>Not Executed</t>
        </is>
      </c>
      <c r="J7" s="9" t="inlineStr">
        <is>
          <t>Prevents ticket noise</t>
        </is>
      </c>
    </row>
    <row r="8" ht="95" customHeight="1">
      <c r="A8" s="10" t="inlineStr">
        <is>
          <t>AW-004</t>
        </is>
      </c>
      <c r="B8" s="10" t="inlineStr">
        <is>
          <t>Verify cross-source alert correlation between PaaS and Datadog</t>
        </is>
      </c>
      <c r="C8" s="10" t="inlineStr">
        <is>
          <t>• PaaS and Datadog integrations are active
• Both sources monitor the same service
• Correlation rule supports service and timestamp matching</t>
        </is>
      </c>
      <c r="D8" s="10" t="inlineStr">
        <is>
          <t>1. Trigger one service outage that produces PaaS and Datadog alerts
2. Allow both alerts to reach Alert Wedge
3. Run correlation and summary generation
4. Review grouped alert output</t>
        </is>
      </c>
      <c r="E8" s="10" t="inlineStr">
        <is>
          <t>PaaS and Datadog alerts for the same issue are merged into one correlated alert summary with both sources retained as evidence.</t>
        </is>
      </c>
      <c r="F8" s="11" t="inlineStr"/>
      <c r="G8" s="10" t="inlineStr">
        <is>
          <t>Service=payments-api; PaaS error + Datadog latency alert</t>
        </is>
      </c>
      <c r="H8" s="10" t="inlineStr">
        <is>
          <t>Critical</t>
        </is>
      </c>
      <c r="I8" s="11" t="inlineStr">
        <is>
          <t>Not Executed</t>
        </is>
      </c>
      <c r="J8" s="11" t="inlineStr">
        <is>
          <t>High-risk cross-system correlation</t>
        </is>
      </c>
    </row>
    <row r="9" ht="95" customHeight="1">
      <c r="A9" s="8" t="inlineStr">
        <is>
          <t>AW-005</t>
        </is>
      </c>
      <c r="B9" s="8" t="inlineStr">
        <is>
          <t>Verify alert summary generation</t>
        </is>
      </c>
      <c r="C9" s="8" t="inlineStr">
        <is>
          <t>• At least two related alerts are ingested
• Alert summary function is available</t>
        </is>
      </c>
      <c r="D9" s="8" t="inlineStr">
        <is>
          <t>1. Generate related alerts for the same impacted service
2. Allow Alert Wedge to correlate the alerts
3. Open the generated summary
4. Compare summary against raw alert details</t>
        </is>
      </c>
      <c r="E9" s="8" t="inlineStr">
        <is>
          <t>Summary accurately states impacted service, symptoms, severity, source systems, time range, and recommended next action without omitting critical details.</t>
        </is>
      </c>
      <c r="F9" s="9" t="inlineStr"/>
      <c r="G9" s="8" t="inlineStr">
        <is>
          <t>Multiple alerts: latency, error rate, health check failure</t>
        </is>
      </c>
      <c r="H9" s="8" t="inlineStr">
        <is>
          <t>High</t>
        </is>
      </c>
      <c r="I9" s="9" t="inlineStr">
        <is>
          <t>Not Executed</t>
        </is>
      </c>
      <c r="J9" s="9" t="inlineStr">
        <is>
          <t>Validates triage readability</t>
        </is>
      </c>
    </row>
    <row r="10" ht="95" customHeight="1">
      <c r="A10" s="10" t="inlineStr">
        <is>
          <t>AW-006</t>
        </is>
      </c>
      <c r="B10" s="10" t="inlineStr">
        <is>
          <t>Verify valid alert decision path</t>
        </is>
      </c>
      <c r="C10" s="10" t="inlineStr">
        <is>
          <t>• A genuine service-impacting issue exists
• Decision rule for valid alert is configured</t>
        </is>
      </c>
      <c r="D10" s="10" t="inlineStr">
        <is>
          <t>1. Trigger a critical production-like incident
2. Allow correlation and triage to complete
3. Review Valid Issue / Valid Alert decision
4. Track next workflow step</t>
        </is>
      </c>
      <c r="E10" s="10" t="inlineStr">
        <is>
          <t>Decision is set to Valid Alert and workflow routes to Context Gathering via GCC source of alert.</t>
        </is>
      </c>
      <c r="F10" s="11" t="inlineStr"/>
      <c r="G10" s="10" t="inlineStr">
        <is>
          <t>Database unavailable; customer-impacting service failure</t>
        </is>
      </c>
      <c r="H10" s="10" t="inlineStr">
        <is>
          <t>High</t>
        </is>
      </c>
      <c r="I10" s="11" t="inlineStr">
        <is>
          <t>Not Executed</t>
        </is>
      </c>
      <c r="J10" s="11" t="inlineStr">
        <is>
          <t>Positive decision path</t>
        </is>
      </c>
    </row>
    <row r="11" ht="95" customHeight="1">
      <c r="A11" s="8" t="inlineStr">
        <is>
          <t>AW-007</t>
        </is>
      </c>
      <c r="B11" s="8" t="inlineStr">
        <is>
          <t>Verify invalid alert Close/Ignore path</t>
        </is>
      </c>
      <c r="C11" s="8" t="inlineStr">
        <is>
          <t>• Invalid alert criteria are configured
• No active service issue exists</t>
        </is>
      </c>
      <c r="D11" s="8" t="inlineStr">
        <is>
          <t>1. Send a false positive alert or known noise alert
2. Allow alert triage to evaluate the alert
3. Review decision outcome
4. Check whether ticket creation is skipped</t>
        </is>
      </c>
      <c r="E11" s="8" t="inlineStr">
        <is>
          <t>Alert is classified as invalid or noise and routed to Close/Ignore. No Jira incident ticket is created.</t>
        </is>
      </c>
      <c r="F11" s="9" t="inlineStr"/>
      <c r="G11" s="8" t="inlineStr">
        <is>
          <t>Transient CPU spike lasting 10 seconds</t>
        </is>
      </c>
      <c r="H11" s="8" t="inlineStr">
        <is>
          <t>High</t>
        </is>
      </c>
      <c r="I11" s="9" t="inlineStr">
        <is>
          <t>Not Executed</t>
        </is>
      </c>
      <c r="J11" s="9" t="inlineStr">
        <is>
          <t>Negative decision path</t>
        </is>
      </c>
    </row>
    <row r="12" ht="95" customHeight="1">
      <c r="A12" s="10" t="inlineStr">
        <is>
          <t>AW-008</t>
        </is>
      </c>
      <c r="B12" s="10" t="inlineStr">
        <is>
          <t>Verify auto de-escalation for self-resolved alert</t>
        </is>
      </c>
      <c r="C12" s="10" t="inlineStr">
        <is>
          <t>• Auto de-escalation is enabled
• Recovery event is supported by monitoring source</t>
        </is>
      </c>
      <c r="D12" s="10" t="inlineStr">
        <is>
          <t>1. Trigger a warning or critical alert
2. Send recovery event before manual escalation
3. Allow Alert Wedge to re-evaluate alert state
4. Review resulting classification</t>
        </is>
      </c>
      <c r="E12" s="10" t="inlineStr">
        <is>
          <t>Alert is de-escalated automatically, status is documented, and de-escalated incident type is available for Jira if audit tracking is required.</t>
        </is>
      </c>
      <c r="F12" s="11" t="inlineStr"/>
      <c r="G12" s="10" t="inlineStr">
        <is>
          <t>Alert active then recovered within 2 minutes</t>
        </is>
      </c>
      <c r="H12" s="10" t="inlineStr">
        <is>
          <t>Medium</t>
        </is>
      </c>
      <c r="I12" s="11" t="inlineStr">
        <is>
          <t>Not Executed</t>
        </is>
      </c>
      <c r="J12" s="11" t="inlineStr">
        <is>
          <t>Self-healing scenario</t>
        </is>
      </c>
    </row>
    <row r="13" ht="95" customHeight="1">
      <c r="A13" s="8" t="inlineStr">
        <is>
          <t>AW-009</t>
        </is>
      </c>
      <c r="B13" s="8" t="inlineStr">
        <is>
          <t>Verify GCC context gathering for PaaS alert</t>
        </is>
      </c>
      <c r="C13" s="8" t="inlineStr">
        <is>
          <t>• GCC context source is connected
• PaaS alert contains required service identifier</t>
        </is>
      </c>
      <c r="D13" s="8" t="inlineStr">
        <is>
          <t>1. Submit a valid PaaS alert
2. Route alert to GCC context gathering
3. Retrieve source context from GCC
4. Review context details before ticket creation</t>
        </is>
      </c>
      <c r="E13" s="8" t="inlineStr">
        <is>
          <t>GCC returns service owner, affected environment, failure details, error or drop information, recent deployment context, and monitoring evidence.</t>
        </is>
      </c>
      <c r="F13" s="9" t="inlineStr"/>
      <c r="G13" s="8" t="inlineStr">
        <is>
          <t>PaaS alert with service_id=svc-1001</t>
        </is>
      </c>
      <c r="H13" s="8" t="inlineStr">
        <is>
          <t>High</t>
        </is>
      </c>
      <c r="I13" s="9" t="inlineStr">
        <is>
          <t>Not Executed</t>
        </is>
      </c>
      <c r="J13" s="9" t="inlineStr">
        <is>
          <t>Context enrichment validation</t>
        </is>
      </c>
    </row>
    <row r="14" ht="95" customHeight="1">
      <c r="A14" s="10" t="inlineStr">
        <is>
          <t>AW-010</t>
        </is>
      </c>
      <c r="B14" s="10" t="inlineStr">
        <is>
          <t>Verify GCC context gathering for Datadog alert</t>
        </is>
      </c>
      <c r="C14" s="10" t="inlineStr">
        <is>
          <t>• GCC and Datadog links are configured
• Datadog alert contains monitor ID and tags</t>
        </is>
      </c>
      <c r="D14" s="10" t="inlineStr">
        <is>
          <t>1. Submit a valid Datadog alert
2. Route alert to GCC context gathering
3. Fetch Datadog related context
4. Review enriched details</t>
        </is>
      </c>
      <c r="E14" s="10" t="inlineStr">
        <is>
          <t>GCC context includes metric name, monitor ID, tags, threshold, current value, affected host or service, and event timeline.</t>
        </is>
      </c>
      <c r="F14" s="11" t="inlineStr"/>
      <c r="G14" s="10" t="inlineStr">
        <is>
          <t>Datadog monitor_id=882100; tag=service:wallet</t>
        </is>
      </c>
      <c r="H14" s="10" t="inlineStr">
        <is>
          <t>High</t>
        </is>
      </c>
      <c r="I14" s="11" t="inlineStr">
        <is>
          <t>Not Executed</t>
        </is>
      </c>
      <c r="J14" s="11" t="inlineStr">
        <is>
          <t>Datadog enrichment</t>
        </is>
      </c>
    </row>
    <row r="15" ht="95" customHeight="1">
      <c r="A15" s="8" t="inlineStr">
        <is>
          <t>AW-011</t>
        </is>
      </c>
      <c r="B15" s="8" t="inlineStr">
        <is>
          <t>Verify Jira ticket creation for Alert/Event Driven</t>
        </is>
      </c>
      <c r="C15" s="8" t="inlineStr">
        <is>
          <t>• Jira integration is active
• Valid alert completes context gathering</t>
        </is>
      </c>
      <c r="D15" s="8" t="inlineStr">
        <is>
          <t>1. Trigger a service outage alert
2. Complete correlation and validation
3. Gather GCC context
4. Create Jira record from Alert Wedge</t>
        </is>
      </c>
      <c r="E15" s="8" t="inlineStr">
        <is>
          <t>Jira ticket is created with Incident Type = Alert / Event Driven and includes summary, description, source, severity, timeline, context, and correlation ID.</t>
        </is>
      </c>
      <c r="F15" s="9" t="inlineStr"/>
      <c r="G15" s="8" t="inlineStr">
        <is>
          <t>Incident Type=Alert / Event Driven</t>
        </is>
      </c>
      <c r="H15" s="8" t="inlineStr">
        <is>
          <t>High</t>
        </is>
      </c>
      <c r="I15" s="9" t="inlineStr">
        <is>
          <t>Not Executed</t>
        </is>
      </c>
      <c r="J15" s="9" t="inlineStr">
        <is>
          <t>Main ticket path</t>
        </is>
      </c>
    </row>
    <row r="16" ht="95" customHeight="1">
      <c r="A16" s="10" t="inlineStr">
        <is>
          <t>AW-012</t>
        </is>
      </c>
      <c r="B16" s="10" t="inlineStr">
        <is>
          <t>Verify Jira ticket creation for Alert/Event Driven de-escalated</t>
        </is>
      </c>
      <c r="C16" s="10" t="inlineStr">
        <is>
          <t>• Jira integration is active
• Auto de-escalation audit ticketing is enabled</t>
        </is>
      </c>
      <c r="D16" s="10" t="inlineStr">
        <is>
          <t>1. Trigger an alert that auto-recovers
2. Allow Alert Wedge to de-escalate the alert
3. Send event to Jira
4. Review Jira fields</t>
        </is>
      </c>
      <c r="E16" s="10" t="inlineStr">
        <is>
          <t>Jira ticket or audit record is created with Incident Type = Alert / Event Driven (de-escalated), recovery evidence, and no active escalation assignment.</t>
        </is>
      </c>
      <c r="F16" s="11" t="inlineStr"/>
      <c r="G16" s="10" t="inlineStr">
        <is>
          <t>Incident Type=Alert / Event Driven (de-escalated)</t>
        </is>
      </c>
      <c r="H16" s="10" t="inlineStr">
        <is>
          <t>Medium</t>
        </is>
      </c>
      <c r="I16" s="11" t="inlineStr">
        <is>
          <t>Not Executed</t>
        </is>
      </c>
      <c r="J16" s="11" t="inlineStr">
        <is>
          <t>Audit trail scenario</t>
        </is>
      </c>
    </row>
    <row r="17" ht="95" customHeight="1">
      <c r="A17" s="8" t="inlineStr">
        <is>
          <t>AW-013</t>
        </is>
      </c>
      <c r="B17" s="8" t="inlineStr">
        <is>
          <t>Verify Jira classification as De-escalated DataDog detected</t>
        </is>
      </c>
      <c r="C17" s="8" t="inlineStr">
        <is>
          <t>• Datadog source alert auto-recovers
• Classification rule exists for Datadog detected de-escalation</t>
        </is>
      </c>
      <c r="D17" s="8" t="inlineStr">
        <is>
          <t>1. Trigger a Datadog alert
2. Send recovery notification
3. Allow Alert Wedge auto-triage
4. Validate Jira classification</t>
        </is>
      </c>
      <c r="E17" s="8" t="inlineStr">
        <is>
          <t>Jira incident type is set to De-escalated (DataDog detected), with Datadog monitor evidence attached or linked.</t>
        </is>
      </c>
      <c r="F17" s="9" t="inlineStr"/>
      <c r="G17" s="8" t="inlineStr">
        <is>
          <t>Source=Datadog; Recovery=True</t>
        </is>
      </c>
      <c r="H17" s="8" t="inlineStr">
        <is>
          <t>Medium</t>
        </is>
      </c>
      <c r="I17" s="9" t="inlineStr">
        <is>
          <t>Not Executed</t>
        </is>
      </c>
      <c r="J17" s="9" t="inlineStr">
        <is>
          <t>Datadog-specific de-escalation</t>
        </is>
      </c>
    </row>
    <row r="18" ht="95" customHeight="1">
      <c r="A18" s="10" t="inlineStr">
        <is>
          <t>AW-014</t>
        </is>
      </c>
      <c r="B18" s="10" t="inlineStr">
        <is>
          <t>Verify Jira classification as De-escalated</t>
        </is>
      </c>
      <c r="C18" s="10" t="inlineStr">
        <is>
          <t>• General de-escalation rule is enabled
• Alert resolves before escalation</t>
        </is>
      </c>
      <c r="D18" s="10" t="inlineStr">
        <is>
          <t>1. Trigger a non-Datadog alert
2. Send recovery event
3. Process triage
4. Validate incident type</t>
        </is>
      </c>
      <c r="E18" s="10" t="inlineStr">
        <is>
          <t>Jira classification is De-escalated and the ticket notes include the reason for de-escalation.</t>
        </is>
      </c>
      <c r="F18" s="11" t="inlineStr"/>
      <c r="G18" s="10" t="inlineStr">
        <is>
          <t>Source=PaaS; Resolution=auto recovered</t>
        </is>
      </c>
      <c r="H18" s="10" t="inlineStr">
        <is>
          <t>Medium</t>
        </is>
      </c>
      <c r="I18" s="11" t="inlineStr">
        <is>
          <t>Not Executed</t>
        </is>
      </c>
      <c r="J18" s="11" t="inlineStr">
        <is>
          <t>Generic de-escalation</t>
        </is>
      </c>
    </row>
    <row r="19" ht="95" customHeight="1">
      <c r="A19" s="8" t="inlineStr">
        <is>
          <t>AW-015</t>
        </is>
      </c>
      <c r="B19" s="8" t="inlineStr">
        <is>
          <t>Verify Funding Ticket classification</t>
        </is>
      </c>
      <c r="C19" s="8" t="inlineStr">
        <is>
          <t>• Funding-related event mapping exists
• Jira Funding Ticket type is available</t>
        </is>
      </c>
      <c r="D19" s="8" t="inlineStr">
        <is>
          <t>1. Submit an alert/event matching funding criteria
2. Run Alert Wedge classification
3. Create Jira ticket
4. Review ticket type and required fields</t>
        </is>
      </c>
      <c r="E19" s="8" t="inlineStr">
        <is>
          <t>Jira ticket type is Funding Ticket and all funding-related mandatory fields are populated or flagged for manual completion.</t>
        </is>
      </c>
      <c r="F19" s="9" t="inlineStr"/>
      <c r="G19" s="8" t="inlineStr">
        <is>
          <t>Funding event payload; amount field present</t>
        </is>
      </c>
      <c r="H19" s="8" t="inlineStr">
        <is>
          <t>Medium</t>
        </is>
      </c>
      <c r="I19" s="9" t="inlineStr">
        <is>
          <t>Not Executed</t>
        </is>
      </c>
      <c r="J19" s="9" t="inlineStr">
        <is>
          <t>Business-specific route</t>
        </is>
      </c>
    </row>
    <row r="20" ht="95" customHeight="1">
      <c r="A20" s="10" t="inlineStr">
        <is>
          <t>AW-016</t>
        </is>
      </c>
      <c r="B20" s="10" t="inlineStr">
        <is>
          <t>Verify Incident Ticket - ODM classification</t>
        </is>
      </c>
      <c r="C20" s="10" t="inlineStr">
        <is>
          <t>• ODM incident criteria are configured
• Jira ODM project is available</t>
        </is>
      </c>
      <c r="D20" s="10" t="inlineStr">
        <is>
          <t>1. Trigger a severe service-impacting alert
2. Complete correlation and GCC gathering
3. Run classification
4. Create Jira ticket</t>
        </is>
      </c>
      <c r="E20" s="10" t="inlineStr">
        <is>
          <t>Jira ticket is created as Incident Ticket - ODM with severity, impact, affected service, and incident timeline populated.</t>
        </is>
      </c>
      <c r="F20" s="11" t="inlineStr"/>
      <c r="G20" s="10" t="inlineStr">
        <is>
          <t>Critical outage; ODM=True</t>
        </is>
      </c>
      <c r="H20" s="10" t="inlineStr">
        <is>
          <t>High</t>
        </is>
      </c>
      <c r="I20" s="11" t="inlineStr">
        <is>
          <t>Not Executed</t>
        </is>
      </c>
      <c r="J20" s="11" t="inlineStr">
        <is>
          <t>Major incident route</t>
        </is>
      </c>
    </row>
    <row r="21" ht="95" customHeight="1">
      <c r="A21" s="8" t="inlineStr">
        <is>
          <t>AW-017</t>
        </is>
      </c>
      <c r="B21" s="8" t="inlineStr">
        <is>
          <t>Verify Tracking Ticket - ODM classification</t>
        </is>
      </c>
      <c r="C21" s="8" t="inlineStr">
        <is>
          <t>• Tracking-only criteria are configured
• Alert is non-critical but requires monitoring</t>
        </is>
      </c>
      <c r="D21" s="8" t="inlineStr">
        <is>
          <t>1. Submit low-impact alert requiring tracking
2. Complete triage
3. Run ticket classification
4. Validate Jira ticket type</t>
        </is>
      </c>
      <c r="E21" s="8" t="inlineStr">
        <is>
          <t>Jira ticket is created as Tracking Ticket - ODM and status reflects monitoring/tracking rather than active incident response.</t>
        </is>
      </c>
      <c r="F21" s="9" t="inlineStr"/>
      <c r="G21" s="8" t="inlineStr">
        <is>
          <t>Non-critical anomaly; No customer impact</t>
        </is>
      </c>
      <c r="H21" s="8" t="inlineStr">
        <is>
          <t>Medium</t>
        </is>
      </c>
      <c r="I21" s="9" t="inlineStr">
        <is>
          <t>Not Executed</t>
        </is>
      </c>
      <c r="J21" s="9" t="inlineStr">
        <is>
          <t>Tracking workflow</t>
        </is>
      </c>
    </row>
    <row r="22" ht="95" customHeight="1">
      <c r="A22" s="10" t="inlineStr">
        <is>
          <t>AW-018</t>
        </is>
      </c>
      <c r="B22" s="10" t="inlineStr">
        <is>
          <t>Verify no Jira ticket for ignored invalid alert</t>
        </is>
      </c>
      <c r="C22" s="10" t="inlineStr">
        <is>
          <t>• Alert is identified as invalid
• Jira integration is active</t>
        </is>
      </c>
      <c r="D22" s="10" t="inlineStr">
        <is>
          <t>1. Submit invalid alert
2. Confirm Close/Ignore decision
3. Monitor Jira project for new ticket
4. Review Alert Wedge audit log</t>
        </is>
      </c>
      <c r="E22" s="10" t="inlineStr">
        <is>
          <t>No Jira ticket is created. Alert Wedge stores decision reason, timestamp, and system/user decision source.</t>
        </is>
      </c>
      <c r="F22" s="11" t="inlineStr"/>
      <c r="G22" s="10" t="inlineStr">
        <is>
          <t>Noise alert; Decision=Ignore</t>
        </is>
      </c>
      <c r="H22" s="10" t="inlineStr">
        <is>
          <t>High</t>
        </is>
      </c>
      <c r="I22" s="11" t="inlineStr">
        <is>
          <t>Not Executed</t>
        </is>
      </c>
      <c r="J22" s="11" t="inlineStr">
        <is>
          <t>Avoids unnecessary ticket creation</t>
        </is>
      </c>
    </row>
    <row r="23" ht="95" customHeight="1">
      <c r="A23" s="8" t="inlineStr">
        <is>
          <t>AW-019</t>
        </is>
      </c>
      <c r="B23" s="8" t="inlineStr">
        <is>
          <t>Verify manual human override after auto de-escalation</t>
        </is>
      </c>
      <c r="C23" s="8" t="inlineStr">
        <is>
          <t>• Human-in-the-loop override is enabled
• Alert has been auto-de-escalated</t>
        </is>
      </c>
      <c r="D23" s="8" t="inlineStr">
        <is>
          <t>1. Trigger and auto-de-escalate an alert
2. Apply manual override to reopen/escalate
3. Route alert to context gathering
4. Create or update Jira ticket</t>
        </is>
      </c>
      <c r="E23" s="8" t="inlineStr">
        <is>
          <t>Manual override reopens the alert, preserves auto-de-escalation history, and proceeds to escalation/ticketing with override reason captured.</t>
        </is>
      </c>
      <c r="F23" s="9" t="inlineStr"/>
      <c r="G23" s="8" t="inlineStr">
        <is>
          <t>Override reason=Customer impact confirmed</t>
        </is>
      </c>
      <c r="H23" s="8" t="inlineStr">
        <is>
          <t>High</t>
        </is>
      </c>
      <c r="I23" s="9" t="inlineStr">
        <is>
          <t>Not Executed</t>
        </is>
      </c>
      <c r="J23" s="9" t="inlineStr">
        <is>
          <t>Human control validation</t>
        </is>
      </c>
    </row>
    <row r="24" ht="95" customHeight="1">
      <c r="A24" s="10" t="inlineStr">
        <is>
          <t>AW-020</t>
        </is>
      </c>
      <c r="B24" s="10" t="inlineStr">
        <is>
          <t>Verify end-to-end Alert Wedge workflow</t>
        </is>
      </c>
      <c r="C24" s="10" t="inlineStr">
        <is>
          <t>• PaaS, Datadog, GCC, and Jira integrations are operational
• Test environment is stable</t>
        </is>
      </c>
      <c r="D24" s="10" t="inlineStr">
        <is>
          <t>1. Generate a critical Datadog alert
2. Correlate and summarize alert
3. Validate alert decision
4. Gather GCC context
5. Create Jira ticket and verify fields</t>
        </is>
      </c>
      <c r="E24" s="10" t="inlineStr">
        <is>
          <t>Alert completes Start to Jira path successfully. All workflow states, timestamps, context details, and ticket fields are traceable.</t>
        </is>
      </c>
      <c r="F24" s="11" t="inlineStr"/>
      <c r="G24" s="10" t="inlineStr">
        <is>
          <t>E2E critical production-like outage</t>
        </is>
      </c>
      <c r="H24" s="10" t="inlineStr">
        <is>
          <t>Critical</t>
        </is>
      </c>
      <c r="I24" s="11" t="inlineStr">
        <is>
          <t>Not Executed</t>
        </is>
      </c>
      <c r="J24" s="11" t="inlineStr">
        <is>
          <t>Complete smoke/regression case</t>
        </is>
      </c>
    </row>
    <row r="25" ht="95" customHeight="1">
      <c r="A25" s="8" t="inlineStr">
        <is>
          <t>AW-021</t>
        </is>
      </c>
      <c r="B25" s="8" t="inlineStr">
        <is>
          <t>Missing source system in alert payload</t>
        </is>
      </c>
      <c r="C25" s="8" t="inlineStr">
        <is>
          <t>• Alert Wedge workflow is active
• Required test controls/mocks are available</t>
        </is>
      </c>
      <c r="D25" s="8" t="inlineStr">
        <is>
          <t>1. Send alert without source field
2. Run ingestion and validation
3. Review routing and audit log</t>
        </is>
      </c>
      <c r="E25" s="8" t="inlineStr">
        <is>
          <t>Alert is rejected or sent to manual review with validation error for missing source.</t>
        </is>
      </c>
      <c r="F25" s="9" t="inlineStr"/>
      <c r="G25" s="8" t="inlineStr">
        <is>
          <t>Source=NULL</t>
        </is>
      </c>
      <c r="H25" s="8" t="inlineStr">
        <is>
          <t>High</t>
        </is>
      </c>
      <c r="I25" s="9" t="inlineStr">
        <is>
          <t>Not Executed</t>
        </is>
      </c>
      <c r="J25" s="9" t="inlineStr">
        <is>
          <t>Data quality</t>
        </is>
      </c>
    </row>
    <row r="26" ht="95" customHeight="1">
      <c r="A26" s="10" t="inlineStr">
        <is>
          <t>AW-022</t>
        </is>
      </c>
      <c r="B26" s="10" t="inlineStr">
        <is>
          <t>Missing timestamp in alert payload</t>
        </is>
      </c>
      <c r="C26" s="10" t="inlineStr">
        <is>
          <t>• Alert Wedge workflow is active
• Required test controls/mocks are available</t>
        </is>
      </c>
      <c r="D26" s="10" t="inlineStr">
        <is>
          <t>1. Send alert without timestamp
2. Run correlation
3. Review fallback behavior</t>
        </is>
      </c>
      <c r="E26" s="10" t="inlineStr">
        <is>
          <t>Alert uses safe received-time fallback or is rejected according to policy; validation reason is logged.</t>
        </is>
      </c>
      <c r="F26" s="11" t="inlineStr"/>
      <c r="G26" s="10" t="inlineStr">
        <is>
          <t>Timestamp=NULL</t>
        </is>
      </c>
      <c r="H26" s="10" t="inlineStr">
        <is>
          <t>High</t>
        </is>
      </c>
      <c r="I26" s="11" t="inlineStr">
        <is>
          <t>Not Executed</t>
        </is>
      </c>
      <c r="J26" s="11" t="inlineStr">
        <is>
          <t>Time integrity</t>
        </is>
      </c>
    </row>
    <row r="27" ht="95" customHeight="1">
      <c r="A27" s="8" t="inlineStr">
        <is>
          <t>AW-023</t>
        </is>
      </c>
      <c r="B27" s="8" t="inlineStr">
        <is>
          <t>Duplicate alert arrives while original is in triage</t>
        </is>
      </c>
      <c r="C27" s="8" t="inlineStr">
        <is>
          <t>• Alert Wedge workflow is active
• Required test controls/mocks are available</t>
        </is>
      </c>
      <c r="D27" s="8" t="inlineStr">
        <is>
          <t>1. Trigger valid alert
2. Before triage completes, resend same alert ID
3. Review correlation and Jira output</t>
        </is>
      </c>
      <c r="E27" s="8" t="inlineStr">
        <is>
          <t>Duplicate is merged with active alert and no duplicate Jira ticket is created.</t>
        </is>
      </c>
      <c r="F27" s="9" t="inlineStr"/>
      <c r="G27" s="8" t="inlineStr">
        <is>
          <t>Duplicate alert_id</t>
        </is>
      </c>
      <c r="H27" s="8" t="inlineStr">
        <is>
          <t>High</t>
        </is>
      </c>
      <c r="I27" s="9" t="inlineStr">
        <is>
          <t>Not Executed</t>
        </is>
      </c>
      <c r="J27" s="9" t="inlineStr">
        <is>
          <t>Concurrency</t>
        </is>
      </c>
    </row>
    <row r="28" ht="95" customHeight="1">
      <c r="A28" s="10" t="inlineStr">
        <is>
          <t>AW-024</t>
        </is>
      </c>
      <c r="B28" s="10" t="inlineStr">
        <is>
          <t>Identical alerts from PaaS and Datadog</t>
        </is>
      </c>
      <c r="C28" s="10" t="inlineStr">
        <is>
          <t>• Alert Wedge workflow is active
• Required test controls/mocks are available</t>
        </is>
      </c>
      <c r="D28" s="10" t="inlineStr">
        <is>
          <t>1. Trigger one outage producing both source alerts
2. Run correlation
3. Check incident count</t>
        </is>
      </c>
      <c r="E28" s="10" t="inlineStr">
        <is>
          <t>Only one incident is created and both sources are recorded as evidence.</t>
        </is>
      </c>
      <c r="F28" s="11" t="inlineStr"/>
      <c r="G28" s="10" t="inlineStr">
        <is>
          <t>Same service + matching time window</t>
        </is>
      </c>
      <c r="H28" s="10" t="inlineStr">
        <is>
          <t>Critical</t>
        </is>
      </c>
      <c r="I28" s="11" t="inlineStr">
        <is>
          <t>Not Executed</t>
        </is>
      </c>
      <c r="J28" s="11" t="inlineStr">
        <is>
          <t>Cross-platform correlation</t>
        </is>
      </c>
    </row>
    <row r="29" ht="95" customHeight="1">
      <c r="A29" s="8" t="inlineStr">
        <is>
          <t>AW-025</t>
        </is>
      </c>
      <c r="B29" s="8" t="inlineStr">
        <is>
          <t>Correlation engine timeout</t>
        </is>
      </c>
      <c r="C29" s="8" t="inlineStr">
        <is>
          <t>• Alert Wedge workflow is active
• Required test controls/mocks are available</t>
        </is>
      </c>
      <c r="D29" s="8" t="inlineStr">
        <is>
          <t>1. Submit alert batch
2. Simulate slow correlation response
3. Observe retry/queue behavior</t>
        </is>
      </c>
      <c r="E29" s="8" t="inlineStr">
        <is>
          <t>Timeout is handled gracefully; alerts remain queued and are not lost.</t>
        </is>
      </c>
      <c r="F29" s="9" t="inlineStr"/>
      <c r="G29" s="8" t="inlineStr">
        <is>
          <t>100 alerts; response delay &gt; timeout</t>
        </is>
      </c>
      <c r="H29" s="8" t="inlineStr">
        <is>
          <t>High</t>
        </is>
      </c>
      <c r="I29" s="9" t="inlineStr">
        <is>
          <t>Not Executed</t>
        </is>
      </c>
      <c r="J29" s="9" t="inlineStr">
        <is>
          <t>Resilience</t>
        </is>
      </c>
    </row>
    <row r="30" ht="95" customHeight="1">
      <c r="A30" s="10" t="inlineStr">
        <is>
          <t>AW-026</t>
        </is>
      </c>
      <c r="B30" s="10" t="inlineStr">
        <is>
          <t>Alert auto-resolves during correlation</t>
        </is>
      </c>
      <c r="C30" s="10" t="inlineStr">
        <is>
          <t>• Alert Wedge workflow is active
• Required test controls/mocks are available</t>
        </is>
      </c>
      <c r="D30" s="10" t="inlineStr">
        <is>
          <t>1. Trigger alert
2. Send recovery before correlation completes
3. Review final state</t>
        </is>
      </c>
      <c r="E30" s="10" t="inlineStr">
        <is>
          <t>Alert is marked recovered/de-escalated with both active and recovery events retained.</t>
        </is>
      </c>
      <c r="F30" s="11" t="inlineStr"/>
      <c r="G30" s="10" t="inlineStr">
        <is>
          <t>Active then recovery events</t>
        </is>
      </c>
      <c r="H30" s="10" t="inlineStr">
        <is>
          <t>Medium</t>
        </is>
      </c>
      <c r="I30" s="11" t="inlineStr">
        <is>
          <t>Not Executed</t>
        </is>
      </c>
      <c r="J30" s="11" t="inlineStr">
        <is>
          <t>Race condition</t>
        </is>
      </c>
    </row>
    <row r="31" ht="95" customHeight="1">
      <c r="A31" s="8" t="inlineStr">
        <is>
          <t>AW-027</t>
        </is>
      </c>
      <c r="B31" s="8" t="inlineStr">
        <is>
          <t>Invalid severity value</t>
        </is>
      </c>
      <c r="C31" s="8" t="inlineStr">
        <is>
          <t>• Alert Wedge workflow is active
• Required test controls/mocks are available</t>
        </is>
      </c>
      <c r="D31" s="8" t="inlineStr">
        <is>
          <t>1. Submit alert with unsupported severity
2. Process validation
3. Review status</t>
        </is>
      </c>
      <c r="E31" s="8" t="inlineStr">
        <is>
          <t>Severity is rejected or mapped to default/manual-review severity per configuration.</t>
        </is>
      </c>
      <c r="F31" s="9" t="inlineStr"/>
      <c r="G31" s="8" t="inlineStr">
        <is>
          <t>Severity=UnknownXYZ</t>
        </is>
      </c>
      <c r="H31" s="8" t="inlineStr">
        <is>
          <t>Medium</t>
        </is>
      </c>
      <c r="I31" s="9" t="inlineStr">
        <is>
          <t>Not Executed</t>
        </is>
      </c>
      <c r="J31" s="9" t="inlineStr">
        <is>
          <t>Input validation</t>
        </is>
      </c>
    </row>
    <row r="32" ht="95" customHeight="1">
      <c r="A32" s="10" t="inlineStr">
        <is>
          <t>AW-028</t>
        </is>
      </c>
      <c r="B32" s="10" t="inlineStr">
        <is>
          <t>Empty alert message</t>
        </is>
      </c>
      <c r="C32" s="10" t="inlineStr">
        <is>
          <t>• Alert Wedge workflow is active
• Required test controls/mocks are available</t>
        </is>
      </c>
      <c r="D32" s="10" t="inlineStr">
        <is>
          <t>1. Submit alert with blank message
2. Run validation
3. Review error handling</t>
        </is>
      </c>
      <c r="E32" s="10" t="inlineStr">
        <is>
          <t>Alert is flagged as incomplete and not escalated without required message/context.</t>
        </is>
      </c>
      <c r="F32" s="11" t="inlineStr"/>
      <c r="G32" s="10" t="inlineStr">
        <is>
          <t>message=''</t>
        </is>
      </c>
      <c r="H32" s="10" t="inlineStr">
        <is>
          <t>Medium</t>
        </is>
      </c>
      <c r="I32" s="11" t="inlineStr">
        <is>
          <t>Not Executed</t>
        </is>
      </c>
      <c r="J32" s="11" t="inlineStr">
        <is>
          <t>Required field</t>
        </is>
      </c>
    </row>
    <row r="33" ht="95" customHeight="1">
      <c r="A33" s="8" t="inlineStr">
        <is>
          <t>AW-029</t>
        </is>
      </c>
      <c r="B33" s="8" t="inlineStr">
        <is>
          <t>Oversized alert description</t>
        </is>
      </c>
      <c r="C33" s="8" t="inlineStr">
        <is>
          <t>• Alert Wedge workflow is active
• Required test controls/mocks are available</t>
        </is>
      </c>
      <c r="D33" s="8" t="inlineStr">
        <is>
          <t>1. Submit alert with very large description
2. Process ingestion and Jira mapping
3. Validate no crash/truncation issue</t>
        </is>
      </c>
      <c r="E33" s="8" t="inlineStr">
        <is>
          <t>System processes or safely truncates payload according to limit and records truncation note.</t>
        </is>
      </c>
      <c r="F33" s="9" t="inlineStr"/>
      <c r="G33" s="8" t="inlineStr">
        <is>
          <t>20,000-character description</t>
        </is>
      </c>
      <c r="H33" s="8" t="inlineStr">
        <is>
          <t>Medium</t>
        </is>
      </c>
      <c r="I33" s="9" t="inlineStr">
        <is>
          <t>Not Executed</t>
        </is>
      </c>
      <c r="J33" s="9" t="inlineStr">
        <is>
          <t>Boundary test</t>
        </is>
      </c>
    </row>
    <row r="34" ht="95" customHeight="1">
      <c r="A34" s="10" t="inlineStr">
        <is>
          <t>AW-030</t>
        </is>
      </c>
      <c r="B34" s="10" t="inlineStr">
        <is>
          <t>Multiple critical alerts simultaneously</t>
        </is>
      </c>
      <c r="C34" s="10" t="inlineStr">
        <is>
          <t>• Alert Wedge workflow is active
• Required test controls/mocks are available</t>
        </is>
      </c>
      <c r="D34" s="10" t="inlineStr">
        <is>
          <t>1. Generate many critical alerts at once
2. Monitor queue and prioritization
3. Review created tickets</t>
        </is>
      </c>
      <c r="E34" s="10" t="inlineStr">
        <is>
          <t>Critical alerts are processed in priority order without data loss or duplicate tickets.</t>
        </is>
      </c>
      <c r="F34" s="11" t="inlineStr"/>
      <c r="G34" s="10" t="inlineStr">
        <is>
          <t>100 critical alerts</t>
        </is>
      </c>
      <c r="H34" s="10" t="inlineStr">
        <is>
          <t>Critical</t>
        </is>
      </c>
      <c r="I34" s="11" t="inlineStr">
        <is>
          <t>Not Executed</t>
        </is>
      </c>
      <c r="J34" s="11" t="inlineStr">
        <is>
          <t>Load burst</t>
        </is>
      </c>
    </row>
    <row r="35" ht="95" customHeight="1">
      <c r="A35" s="8" t="inlineStr">
        <is>
          <t>AW-031</t>
        </is>
      </c>
      <c r="B35" s="8" t="inlineStr">
        <is>
          <t>GCC cannot retrieve context</t>
        </is>
      </c>
      <c r="C35" s="8" t="inlineStr">
        <is>
          <t>• Alert Wedge workflow is active
• Required test controls/mocks are available</t>
        </is>
      </c>
      <c r="D35" s="8" t="inlineStr">
        <is>
          <t>1. Trigger valid alert
2. Force GCC lookup failure
3. Review workflow fallback</t>
        </is>
      </c>
      <c r="E35" s="8" t="inlineStr">
        <is>
          <t>Alert is escalated for manual investigation with context-gathering failure reason.</t>
        </is>
      </c>
      <c r="F35" s="9" t="inlineStr"/>
      <c r="G35" s="8" t="inlineStr">
        <is>
          <t>GCC lookup returns error</t>
        </is>
      </c>
      <c r="H35" s="8" t="inlineStr">
        <is>
          <t>High</t>
        </is>
      </c>
      <c r="I35" s="9" t="inlineStr">
        <is>
          <t>Not Executed</t>
        </is>
      </c>
      <c r="J35" s="9" t="inlineStr">
        <is>
          <t>Context failure</t>
        </is>
      </c>
    </row>
    <row r="36" ht="95" customHeight="1">
      <c r="A36" s="10" t="inlineStr">
        <is>
          <t>AW-032</t>
        </is>
      </c>
      <c r="B36" s="10" t="inlineStr">
        <is>
          <t>Jira creates duplicate tickets attempt</t>
        </is>
      </c>
      <c r="C36" s="10" t="inlineStr">
        <is>
          <t>• Alert Wedge workflow is active
• Required test controls/mocks are available</t>
        </is>
      </c>
      <c r="D36" s="10" t="inlineStr">
        <is>
          <t>1. Submit same incident creation request twice
2. Observe Jira response
3. Review linked ticket behavior</t>
        </is>
      </c>
      <c r="E36" s="10" t="inlineStr">
        <is>
          <t>Existing Jira ticket is linked/reused and duplicate creation is blocked.</t>
        </is>
      </c>
      <c r="F36" s="11" t="inlineStr"/>
      <c r="G36" s="10" t="inlineStr">
        <is>
          <t>Same correlation_id</t>
        </is>
      </c>
      <c r="H36" s="10" t="inlineStr">
        <is>
          <t>High</t>
        </is>
      </c>
      <c r="I36" s="11" t="inlineStr">
        <is>
          <t>Not Executed</t>
        </is>
      </c>
      <c r="J36" s="11" t="inlineStr">
        <is>
          <t>Idempotency</t>
        </is>
      </c>
    </row>
    <row r="37" ht="95" customHeight="1">
      <c r="A37" s="8" t="inlineStr">
        <is>
          <t>AW-033</t>
        </is>
      </c>
      <c r="B37" s="8" t="inlineStr">
        <is>
          <t>Unsupported incident type detected</t>
        </is>
      </c>
      <c r="C37" s="8" t="inlineStr">
        <is>
          <t>• Alert Wedge workflow is active
• Required test controls/mocks are available</t>
        </is>
      </c>
      <c r="D37" s="8" t="inlineStr">
        <is>
          <t>1. Submit unknown category
2. Run classification
3. Review final classification</t>
        </is>
      </c>
      <c r="E37" s="8" t="inlineStr">
        <is>
          <t>Alert is assigned default/manual-review classification without workflow crash.</t>
        </is>
      </c>
      <c r="F37" s="9" t="inlineStr"/>
      <c r="G37" s="8" t="inlineStr">
        <is>
          <t>incident_type=NewUnsupportedType</t>
        </is>
      </c>
      <c r="H37" s="8" t="inlineStr">
        <is>
          <t>High</t>
        </is>
      </c>
      <c r="I37" s="9" t="inlineStr">
        <is>
          <t>Not Executed</t>
        </is>
      </c>
      <c r="J37" s="9" t="inlineStr">
        <is>
          <t>Future proofing</t>
        </is>
      </c>
    </row>
    <row r="38" ht="95" customHeight="1">
      <c r="A38" s="10" t="inlineStr">
        <is>
          <t>AW-034</t>
        </is>
      </c>
      <c r="B38" s="10" t="inlineStr">
        <is>
          <t>Corrupted JSON payload</t>
        </is>
      </c>
      <c r="C38" s="10" t="inlineStr">
        <is>
          <t>• Alert Wedge workflow is active
• Required test controls/mocks are available</t>
        </is>
      </c>
      <c r="D38" s="10" t="inlineStr">
        <is>
          <t>1. Send malformed JSON
2. Run ingestion
3. Review validation logs</t>
        </is>
      </c>
      <c r="E38" s="10" t="inlineStr">
        <is>
          <t>Payload is rejected with parse error; no downstream processing occurs.</t>
        </is>
      </c>
      <c r="F38" s="11" t="inlineStr"/>
      <c r="G38" s="10" t="inlineStr">
        <is>
          <t>{ invalid json</t>
        </is>
      </c>
      <c r="H38" s="10" t="inlineStr">
        <is>
          <t>High</t>
        </is>
      </c>
      <c r="I38" s="11" t="inlineStr">
        <is>
          <t>Not Executed</t>
        </is>
      </c>
      <c r="J38" s="11" t="inlineStr">
        <is>
          <t>Parser robustness</t>
        </is>
      </c>
    </row>
    <row r="39" ht="95" customHeight="1">
      <c r="A39" s="8" t="inlineStr">
        <is>
          <t>AW-035</t>
        </is>
      </c>
      <c r="B39" s="8" t="inlineStr">
        <is>
          <t>Alerts arrive out of order</t>
        </is>
      </c>
      <c r="C39" s="8" t="inlineStr">
        <is>
          <t>• Alert Wedge workflow is active
• Required test controls/mocks are available</t>
        </is>
      </c>
      <c r="D39" s="8" t="inlineStr">
        <is>
          <t>1. Send newer alert first
2. Send older related alert later
3. Run correlation</t>
        </is>
      </c>
      <c r="E39" s="8" t="inlineStr">
        <is>
          <t>Correlation uses event timestamps and preserves correct incident timeline.</t>
        </is>
      </c>
      <c r="F39" s="9" t="inlineStr"/>
      <c r="G39" s="8" t="inlineStr">
        <is>
          <t>Older event delayed by 30 minutes</t>
        </is>
      </c>
      <c r="H39" s="8" t="inlineStr">
        <is>
          <t>Medium</t>
        </is>
      </c>
      <c r="I39" s="9" t="inlineStr">
        <is>
          <t>Not Executed</t>
        </is>
      </c>
      <c r="J39" s="9" t="inlineStr">
        <is>
          <t>Ordering</t>
        </is>
      </c>
    </row>
    <row r="40" ht="95" customHeight="1">
      <c r="A40" s="10" t="inlineStr">
        <is>
          <t>AW-036</t>
        </is>
      </c>
      <c r="B40" s="10" t="inlineStr">
        <is>
          <t>Network interruption during processing</t>
        </is>
      </c>
      <c r="C40" s="10" t="inlineStr">
        <is>
          <t>• Alert Wedge workflow is active
• Required test controls/mocks are available</t>
        </is>
      </c>
      <c r="D40" s="10" t="inlineStr">
        <is>
          <t>1. Trigger valid alert
2. Interrupt network mid-processing
3. Restore network and review state</t>
        </is>
      </c>
      <c r="E40" s="10" t="inlineStr">
        <is>
          <t>Alert state is preserved and processing resumes or retries without duplicate effects.</t>
        </is>
      </c>
      <c r="F40" s="11" t="inlineStr"/>
      <c r="G40" s="10" t="inlineStr">
        <is>
          <t>Connection reset</t>
        </is>
      </c>
      <c r="H40" s="10" t="inlineStr">
        <is>
          <t>High</t>
        </is>
      </c>
      <c r="I40" s="11" t="inlineStr">
        <is>
          <t>Not Executed</t>
        </is>
      </c>
      <c r="J40" s="11" t="inlineStr">
        <is>
          <t>State preservation</t>
        </is>
      </c>
    </row>
    <row r="41" ht="95" customHeight="1">
      <c r="A41" s="8" t="inlineStr">
        <is>
          <t>AW-037</t>
        </is>
      </c>
      <c r="B41" s="8" t="inlineStr">
        <is>
          <t>Simultaneous close and escalation actions</t>
        </is>
      </c>
      <c r="C41" s="8" t="inlineStr">
        <is>
          <t>• Alert Wedge workflow is active
• Required test controls/mocks are available</t>
        </is>
      </c>
      <c r="D41" s="8" t="inlineStr">
        <is>
          <t>1. Trigger an alert under triage
2. Execute close and escalation actions concurrently
3. Review final state</t>
        </is>
      </c>
      <c r="E41" s="8" t="inlineStr">
        <is>
          <t>Workflow resolves conflict deterministically and records the winning action and reason.</t>
        </is>
      </c>
      <c r="F41" s="9" t="inlineStr"/>
      <c r="G41" s="8" t="inlineStr">
        <is>
          <t>Close + Escalate in same second</t>
        </is>
      </c>
      <c r="H41" s="8" t="inlineStr">
        <is>
          <t>High</t>
        </is>
      </c>
      <c r="I41" s="9" t="inlineStr">
        <is>
          <t>Not Executed</t>
        </is>
      </c>
      <c r="J41" s="9" t="inlineStr">
        <is>
          <t>Concurrency</t>
        </is>
      </c>
    </row>
    <row r="42" ht="95" customHeight="1">
      <c r="A42" s="10" t="inlineStr">
        <is>
          <t>AW-038</t>
        </is>
      </c>
      <c r="B42" s="10" t="inlineStr">
        <is>
          <t>Severity upgraded after ingestion</t>
        </is>
      </c>
      <c r="C42" s="10" t="inlineStr">
        <is>
          <t>• Alert Wedge workflow is active
• Required test controls/mocks are available</t>
        </is>
      </c>
      <c r="D42" s="10" t="inlineStr">
        <is>
          <t>1. Submit warning alert
2. Update same alert to critical
3. Review incident severity and notifications</t>
        </is>
      </c>
      <c r="E42" s="10" t="inlineStr">
        <is>
          <t>Alert severity and downstream ticket priority are updated to Critical.</t>
        </is>
      </c>
      <c r="F42" s="11" t="inlineStr"/>
      <c r="G42" s="10" t="inlineStr">
        <is>
          <t>Warning to Critical</t>
        </is>
      </c>
      <c r="H42" s="10" t="inlineStr">
        <is>
          <t>High</t>
        </is>
      </c>
      <c r="I42" s="11" t="inlineStr">
        <is>
          <t>Not Executed</t>
        </is>
      </c>
      <c r="J42" s="11" t="inlineStr">
        <is>
          <t>Dynamic update</t>
        </is>
      </c>
    </row>
    <row r="43" ht="95" customHeight="1">
      <c r="A43" s="8" t="inlineStr">
        <is>
          <t>AW-039</t>
        </is>
      </c>
      <c r="B43" s="8" t="inlineStr">
        <is>
          <t>Severity downgraded after ingestion</t>
        </is>
      </c>
      <c r="C43" s="8" t="inlineStr">
        <is>
          <t>• Alert Wedge workflow is active
• Required test controls/mocks are available</t>
        </is>
      </c>
      <c r="D43" s="8" t="inlineStr">
        <is>
          <t>1. Submit critical alert
2. Update same alert to warning
3. Review status/ticket fields</t>
        </is>
      </c>
      <c r="E43" s="8" t="inlineStr">
        <is>
          <t>Alert remains auditable and ticket priority/status follows configured downgrade policy.</t>
        </is>
      </c>
      <c r="F43" s="9" t="inlineStr"/>
      <c r="G43" s="8" t="inlineStr">
        <is>
          <t>Critical to Warning</t>
        </is>
      </c>
      <c r="H43" s="8" t="inlineStr">
        <is>
          <t>Medium</t>
        </is>
      </c>
      <c r="I43" s="9" t="inlineStr">
        <is>
          <t>Not Executed</t>
        </is>
      </c>
      <c r="J43" s="9" t="inlineStr">
        <is>
          <t>Dynamic update</t>
        </is>
      </c>
    </row>
    <row r="44" ht="95" customHeight="1">
      <c r="A44" s="10" t="inlineStr">
        <is>
          <t>AW-040</t>
        </is>
      </c>
      <c r="B44" s="10" t="inlineStr">
        <is>
          <t>Alert during maintenance window</t>
        </is>
      </c>
      <c r="C44" s="10" t="inlineStr">
        <is>
          <t>• Alert Wedge workflow is active
• Required test controls/mocks are available</t>
        </is>
      </c>
      <c r="D44" s="10" t="inlineStr">
        <is>
          <t>1. Configure active maintenance window
2. Trigger service alert
3. Review suppression/de-escalation</t>
        </is>
      </c>
      <c r="E44" s="10" t="inlineStr">
        <is>
          <t>Alert is suppressed, marked expected, or routed per maintenance policy; no false escalation occurs.</t>
        </is>
      </c>
      <c r="F44" s="11" t="inlineStr"/>
      <c r="G44" s="10" t="inlineStr">
        <is>
          <t>Maintenance window active</t>
        </is>
      </c>
      <c r="H44" s="10" t="inlineStr">
        <is>
          <t>High</t>
        </is>
      </c>
      <c r="I44" s="11" t="inlineStr">
        <is>
          <t>Not Executed</t>
        </is>
      </c>
      <c r="J44" s="11" t="inlineStr">
        <is>
          <t>Business rule</t>
        </is>
      </c>
    </row>
    <row r="45" ht="95" customHeight="1">
      <c r="A45" s="8" t="inlineStr">
        <is>
          <t>AW-041</t>
        </is>
      </c>
      <c r="B45" s="8" t="inlineStr">
        <is>
          <t>Alert from decommissioned service</t>
        </is>
      </c>
      <c r="C45" s="8" t="inlineStr">
        <is>
          <t>• Alert Wedge workflow is active
• Required test controls/mocks are available</t>
        </is>
      </c>
      <c r="D45" s="8" t="inlineStr">
        <is>
          <t>1. Use retired service identifier
2. Submit alert
3. Review asset validation</t>
        </is>
      </c>
      <c r="E45" s="8" t="inlineStr">
        <is>
          <t>Alert is flagged for review and not escalated automatically unless policy requires.</t>
        </is>
      </c>
      <c r="F45" s="9" t="inlineStr"/>
      <c r="G45" s="8" t="inlineStr">
        <is>
          <t>service_status=retired</t>
        </is>
      </c>
      <c r="H45" s="8" t="inlineStr">
        <is>
          <t>Medium</t>
        </is>
      </c>
      <c r="I45" s="9" t="inlineStr">
        <is>
          <t>Not Executed</t>
        </is>
      </c>
      <c r="J45" s="9" t="inlineStr">
        <is>
          <t>CMDB/asset validation</t>
        </is>
      </c>
    </row>
    <row r="46" ht="95" customHeight="1">
      <c r="A46" s="10" t="inlineStr">
        <is>
          <t>AW-042</t>
        </is>
      </c>
      <c r="B46" s="10" t="inlineStr">
        <is>
          <t>Special characters and unicode in alert</t>
        </is>
      </c>
      <c r="C46" s="10" t="inlineStr">
        <is>
          <t>• Alert Wedge workflow is active
• Required test controls/mocks are available</t>
        </is>
      </c>
      <c r="D46" s="10" t="inlineStr">
        <is>
          <t>1. Submit alert with symbols/unicode
2. Process ingestion and Jira creation
3. Review displayed text</t>
        </is>
      </c>
      <c r="E46" s="10" t="inlineStr">
        <is>
          <t>Characters are preserved or safely encoded across Alert Wedge and Jira.</t>
        </is>
      </c>
      <c r="F46" s="11" t="inlineStr"/>
      <c r="G46" s="10" t="inlineStr">
        <is>
          <t>Message contains emoji, accents, symbols</t>
        </is>
      </c>
      <c r="H46" s="10" t="inlineStr">
        <is>
          <t>Low</t>
        </is>
      </c>
      <c r="I46" s="11" t="inlineStr">
        <is>
          <t>Not Executed</t>
        </is>
      </c>
      <c r="J46" s="11" t="inlineStr">
        <is>
          <t>Encoding</t>
        </is>
      </c>
    </row>
    <row r="47" ht="95" customHeight="1">
      <c r="A47" s="8" t="inlineStr">
        <is>
          <t>AW-043</t>
        </is>
      </c>
      <c r="B47" s="8" t="inlineStr">
        <is>
          <t>Future timestamp</t>
        </is>
      </c>
      <c r="C47" s="8" t="inlineStr">
        <is>
          <t>• Alert Wedge workflow is active
• Required test controls/mocks are available</t>
        </is>
      </c>
      <c r="D47" s="8" t="inlineStr">
        <is>
          <t>1. Send alert with future event time
2. Run validation
3. Review handling</t>
        </is>
      </c>
      <c r="E47" s="8" t="inlineStr">
        <is>
          <t>Alert is flagged for timestamp anomaly and handled according to policy.</t>
        </is>
      </c>
      <c r="F47" s="9" t="inlineStr"/>
      <c r="G47" s="8" t="inlineStr">
        <is>
          <t>Timestamp=tomorrow</t>
        </is>
      </c>
      <c r="H47" s="8" t="inlineStr">
        <is>
          <t>Medium</t>
        </is>
      </c>
      <c r="I47" s="9" t="inlineStr">
        <is>
          <t>Not Executed</t>
        </is>
      </c>
      <c r="J47" s="9" t="inlineStr">
        <is>
          <t>Time validation</t>
        </is>
      </c>
    </row>
    <row r="48" ht="95" customHeight="1">
      <c r="A48" s="10" t="inlineStr">
        <is>
          <t>AW-044</t>
        </is>
      </c>
      <c r="B48" s="10" t="inlineStr">
        <is>
          <t>Stale alert timestamp</t>
        </is>
      </c>
      <c r="C48" s="10" t="inlineStr">
        <is>
          <t>• Alert Wedge workflow is active
• Required test controls/mocks are available</t>
        </is>
      </c>
      <c r="D48" s="10" t="inlineStr">
        <is>
          <t>1. Send alert older than allowed threshold
2. Run correlation
3. Review status</t>
        </is>
      </c>
      <c r="E48" s="10" t="inlineStr">
        <is>
          <t>System marks alert as stale and suppresses/escalates based on stale-alert policy.</t>
        </is>
      </c>
      <c r="F48" s="11" t="inlineStr"/>
      <c r="G48" s="10" t="inlineStr">
        <is>
          <t>24-hour old timestamp</t>
        </is>
      </c>
      <c r="H48" s="10" t="inlineStr">
        <is>
          <t>Medium</t>
        </is>
      </c>
      <c r="I48" s="11" t="inlineStr">
        <is>
          <t>Not Executed</t>
        </is>
      </c>
      <c r="J48" s="11" t="inlineStr">
        <is>
          <t>Aged alert</t>
        </is>
      </c>
    </row>
    <row r="49" ht="95" customHeight="1">
      <c r="A49" s="8" t="inlineStr">
        <is>
          <t>AW-045</t>
        </is>
      </c>
      <c r="B49" s="8" t="inlineStr">
        <is>
          <t>Recovery event received before alert event</t>
        </is>
      </c>
      <c r="C49" s="8" t="inlineStr">
        <is>
          <t>• Alert Wedge workflow is active
• Required test controls/mocks are available</t>
        </is>
      </c>
      <c r="D49" s="8" t="inlineStr">
        <is>
          <t>1. Send recovery event first
2. Send matching alert event second
3. Run correlation</t>
        </is>
      </c>
      <c r="E49" s="8" t="inlineStr">
        <is>
          <t>Workflow handles sequence anomaly without closing a future incident incorrectly.</t>
        </is>
      </c>
      <c r="F49" s="9" t="inlineStr"/>
      <c r="G49" s="8" t="inlineStr">
        <is>
          <t>Recovery first</t>
        </is>
      </c>
      <c r="H49" s="8" t="inlineStr">
        <is>
          <t>High</t>
        </is>
      </c>
      <c r="I49" s="9" t="inlineStr">
        <is>
          <t>Not Executed</t>
        </is>
      </c>
      <c r="J49" s="9" t="inlineStr">
        <is>
          <t>Event sequencing</t>
        </is>
      </c>
    </row>
    <row r="50" ht="95" customHeight="1">
      <c r="A50" s="10" t="inlineStr">
        <is>
          <t>AW-046</t>
        </is>
      </c>
      <c r="B50" s="10" t="inlineStr">
        <is>
          <t>Massive alert storm</t>
        </is>
      </c>
      <c r="C50" s="10" t="inlineStr">
        <is>
          <t>• Alert Wedge workflow is active
• Required test controls/mocks are available</t>
        </is>
      </c>
      <c r="D50" s="10" t="inlineStr">
        <is>
          <t>1. Prepare high-volume simulation
2. Submit 10,000 alerts
3. Monitor performance and failures</t>
        </is>
      </c>
      <c r="E50" s="10" t="inlineStr">
        <is>
          <t>System remains stable, throttles/queues as needed, and processes within agreed SLA.</t>
        </is>
      </c>
      <c r="F50" s="11" t="inlineStr"/>
      <c r="G50" s="10" t="inlineStr">
        <is>
          <t>10,000 alerts</t>
        </is>
      </c>
      <c r="H50" s="10" t="inlineStr">
        <is>
          <t>Critical</t>
        </is>
      </c>
      <c r="I50" s="11" t="inlineStr">
        <is>
          <t>Not Executed</t>
        </is>
      </c>
      <c r="J50" s="11" t="inlineStr">
        <is>
          <t>Scalability</t>
        </is>
      </c>
    </row>
    <row r="51" ht="95" customHeight="1">
      <c r="A51" s="8" t="inlineStr">
        <is>
          <t>AW-047</t>
        </is>
      </c>
      <c r="B51" s="8" t="inlineStr">
        <is>
          <t>Incomplete AI-generated summary</t>
        </is>
      </c>
      <c r="C51" s="8" t="inlineStr">
        <is>
          <t>• Alert Wedge workflow is active
• Required test controls/mocks are available</t>
        </is>
      </c>
      <c r="D51" s="8" t="inlineStr">
        <is>
          <t>1. Submit multi-source incident
2. Generate summary
3. Compare against raw events</t>
        </is>
      </c>
      <c r="E51" s="8" t="inlineStr">
        <is>
          <t>Missing context is detected and enrichment/manual review is triggered.</t>
        </is>
      </c>
      <c r="F51" s="9" t="inlineStr"/>
      <c r="G51" s="8" t="inlineStr">
        <is>
          <t>Multi-source outage</t>
        </is>
      </c>
      <c r="H51" s="8" t="inlineStr">
        <is>
          <t>High</t>
        </is>
      </c>
      <c r="I51" s="9" t="inlineStr">
        <is>
          <t>Not Executed</t>
        </is>
      </c>
      <c r="J51" s="9" t="inlineStr">
        <is>
          <t>AI quality</t>
        </is>
      </c>
    </row>
    <row r="52" ht="95" customHeight="1">
      <c r="A52" s="10" t="inlineStr">
        <is>
          <t>AW-048</t>
        </is>
      </c>
      <c r="B52" s="10" t="inlineStr">
        <is>
          <t>Wrong AI/correlation mapping</t>
        </is>
      </c>
      <c r="C52" s="10" t="inlineStr">
        <is>
          <t>• Alert Wedge workflow is active
• Required test controls/mocks are available</t>
        </is>
      </c>
      <c r="D52" s="10" t="inlineStr">
        <is>
          <t>1. Submit unrelated alerts with similar names
2. Run correlation
3. Review grouping</t>
        </is>
      </c>
      <c r="E52" s="10" t="inlineStr">
        <is>
          <t>Unrelated alerts are not merged; suspicious grouping is flagged for review.</t>
        </is>
      </c>
      <c r="F52" s="11" t="inlineStr"/>
      <c r="G52" s="10" t="inlineStr">
        <is>
          <t>svc-pay vs svc-payment-test</t>
        </is>
      </c>
      <c r="H52" s="10" t="inlineStr">
        <is>
          <t>High</t>
        </is>
      </c>
      <c r="I52" s="11" t="inlineStr">
        <is>
          <t>Not Executed</t>
        </is>
      </c>
      <c r="J52" s="11" t="inlineStr">
        <is>
          <t>False correlation</t>
        </is>
      </c>
    </row>
    <row r="53" ht="95" customHeight="1">
      <c r="A53" s="8" t="inlineStr">
        <is>
          <t>AW-049</t>
        </is>
      </c>
      <c r="B53" s="8" t="inlineStr">
        <is>
          <t>Repeated recovery and re-alert flapping</t>
        </is>
      </c>
      <c r="C53" s="8" t="inlineStr">
        <is>
          <t>• Alert Wedge workflow is active
• Required test controls/mocks are available</t>
        </is>
      </c>
      <c r="D53" s="8" t="inlineStr">
        <is>
          <t>1. Generate alert/recovery cycles repeatedly
2. Run triage
3. Review ticket updates</t>
        </is>
      </c>
      <c r="E53" s="8" t="inlineStr">
        <is>
          <t>System detects flapping, avoids ticket spam, and updates one incident or flags instability.</t>
        </is>
      </c>
      <c r="F53" s="9" t="inlineStr"/>
      <c r="G53" s="8" t="inlineStr">
        <is>
          <t>5 cycles in 15 minutes</t>
        </is>
      </c>
      <c r="H53" s="8" t="inlineStr">
        <is>
          <t>High</t>
        </is>
      </c>
      <c r="I53" s="9" t="inlineStr">
        <is>
          <t>Not Executed</t>
        </is>
      </c>
      <c r="J53" s="9" t="inlineStr">
        <is>
          <t>Flapping</t>
        </is>
      </c>
    </row>
    <row r="54" ht="95" customHeight="1">
      <c r="A54" s="10" t="inlineStr">
        <is>
          <t>AW-050</t>
        </is>
      </c>
      <c r="B54" s="10" t="inlineStr">
        <is>
          <t>Alert with missing service owner</t>
        </is>
      </c>
      <c r="C54" s="10" t="inlineStr">
        <is>
          <t>• Alert Wedge workflow is active
• Required test controls/mocks are available</t>
        </is>
      </c>
      <c r="D54" s="10" t="inlineStr">
        <is>
          <t>1. Submit valid alert with no owner metadata
2. Run GCC context gathering
3. Review assignment</t>
        </is>
      </c>
      <c r="E54" s="10" t="inlineStr">
        <is>
          <t>Alert is assigned to fallback queue or manual triage with missing-owner flag.</t>
        </is>
      </c>
      <c r="F54" s="11" t="inlineStr"/>
      <c r="G54" s="10" t="inlineStr">
        <is>
          <t>owner=NULL</t>
        </is>
      </c>
      <c r="H54" s="10" t="inlineStr">
        <is>
          <t>Medium</t>
        </is>
      </c>
      <c r="I54" s="11" t="inlineStr">
        <is>
          <t>Not Executed</t>
        </is>
      </c>
      <c r="J54" s="11" t="inlineStr">
        <is>
          <t>Routing</t>
        </is>
      </c>
    </row>
    <row r="55" ht="95" customHeight="1">
      <c r="A55" s="8" t="inlineStr">
        <is>
          <t>AW-051</t>
        </is>
      </c>
      <c r="B55" s="8" t="inlineStr">
        <is>
          <t>Invalid environment tag</t>
        </is>
      </c>
      <c r="C55" s="8" t="inlineStr">
        <is>
          <t>• Alert Wedge workflow is active
• Required test controls/mocks are available</t>
        </is>
      </c>
      <c r="D55" s="8" t="inlineStr">
        <is>
          <t>1. Submit alert with environment=unknown
2. Run validation/classification
3. Review routing</t>
        </is>
      </c>
      <c r="E55" s="8" t="inlineStr">
        <is>
          <t>Environment anomaly is flagged and default routing is applied if configured.</t>
        </is>
      </c>
      <c r="F55" s="9" t="inlineStr"/>
      <c r="G55" s="8" t="inlineStr">
        <is>
          <t>env=abc</t>
        </is>
      </c>
      <c r="H55" s="8" t="inlineStr">
        <is>
          <t>Medium</t>
        </is>
      </c>
      <c r="I55" s="9" t="inlineStr">
        <is>
          <t>Not Executed</t>
        </is>
      </c>
      <c r="J55" s="9" t="inlineStr">
        <is>
          <t>Tag validation</t>
        </is>
      </c>
    </row>
    <row r="56" ht="95" customHeight="1">
      <c r="A56" s="10" t="inlineStr">
        <is>
          <t>AW-052</t>
        </is>
      </c>
      <c r="B56" s="10" t="inlineStr">
        <is>
          <t>Alert from non-production environment</t>
        </is>
      </c>
      <c r="C56" s="10" t="inlineStr">
        <is>
          <t>• Alert Wedge workflow is active
• Required test controls/mocks are available</t>
        </is>
      </c>
      <c r="D56" s="10" t="inlineStr">
        <is>
          <t>1. Submit dev/test alert
2. Run workflow
3. Review escalation decision</t>
        </is>
      </c>
      <c r="E56" s="10" t="inlineStr">
        <is>
          <t>Alert follows non-production policy and does not create production incident unless severity/rule requires.</t>
        </is>
      </c>
      <c r="F56" s="11" t="inlineStr"/>
      <c r="G56" s="10" t="inlineStr">
        <is>
          <t>env=dev</t>
        </is>
      </c>
      <c r="H56" s="10" t="inlineStr">
        <is>
          <t>Medium</t>
        </is>
      </c>
      <c r="I56" s="11" t="inlineStr">
        <is>
          <t>Not Executed</t>
        </is>
      </c>
      <c r="J56" s="11" t="inlineStr">
        <is>
          <t>Environment policy</t>
        </is>
      </c>
    </row>
    <row r="57" ht="95" customHeight="1">
      <c r="A57" s="8" t="inlineStr">
        <is>
          <t>AW-053</t>
        </is>
      </c>
      <c r="B57" s="8" t="inlineStr">
        <is>
          <t>Missing correlation ID</t>
        </is>
      </c>
      <c r="C57" s="8" t="inlineStr">
        <is>
          <t>• Alert Wedge workflow is active
• Required test controls/mocks are available</t>
        </is>
      </c>
      <c r="D57" s="8" t="inlineStr">
        <is>
          <t>1. Submit alert with no correlation ID
2. Run ingestion
3. Review generated identifiers</t>
        </is>
      </c>
      <c r="E57" s="8" t="inlineStr">
        <is>
          <t>System generates internal ID or routes for manual review; processing remains traceable.</t>
        </is>
      </c>
      <c r="F57" s="9" t="inlineStr"/>
      <c r="G57" s="8" t="inlineStr">
        <is>
          <t>correlation_id=NULL</t>
        </is>
      </c>
      <c r="H57" s="8" t="inlineStr">
        <is>
          <t>High</t>
        </is>
      </c>
      <c r="I57" s="9" t="inlineStr">
        <is>
          <t>Not Executed</t>
        </is>
      </c>
      <c r="J57" s="9" t="inlineStr">
        <is>
          <t>Traceability</t>
        </is>
      </c>
    </row>
    <row r="58" ht="95" customHeight="1">
      <c r="A58" s="10" t="inlineStr">
        <is>
          <t>AW-054</t>
        </is>
      </c>
      <c r="B58" s="10" t="inlineStr">
        <is>
          <t>Duplicate recovery event</t>
        </is>
      </c>
      <c r="C58" s="10" t="inlineStr">
        <is>
          <t>• Alert Wedge workflow is active
• Required test controls/mocks are available</t>
        </is>
      </c>
      <c r="D58" s="10" t="inlineStr">
        <is>
          <t>1. Send alert
2. Send recovery twice
3. Review state transitions</t>
        </is>
      </c>
      <c r="E58" s="10" t="inlineStr">
        <is>
          <t>Second recovery event is ignored or logged without duplicate ticket updates.</t>
        </is>
      </c>
      <c r="F58" s="11" t="inlineStr"/>
      <c r="G58" s="10" t="inlineStr">
        <is>
          <t>Recovery sent twice</t>
        </is>
      </c>
      <c r="H58" s="10" t="inlineStr">
        <is>
          <t>Medium</t>
        </is>
      </c>
      <c r="I58" s="11" t="inlineStr">
        <is>
          <t>Not Executed</t>
        </is>
      </c>
      <c r="J58" s="11" t="inlineStr">
        <is>
          <t>Idempotency</t>
        </is>
      </c>
    </row>
    <row r="59" ht="95" customHeight="1">
      <c r="A59" s="8" t="inlineStr">
        <is>
          <t>AW-055</t>
        </is>
      </c>
      <c r="B59" s="8" t="inlineStr">
        <is>
          <t>Human override of invalid alert to valid</t>
        </is>
      </c>
      <c r="C59" s="8" t="inlineStr">
        <is>
          <t>• Alert Wedge workflow is active
• Required test controls/mocks are available</t>
        </is>
      </c>
      <c r="D59" s="8" t="inlineStr">
        <is>
          <t>1. Close/Ignore decision exists
2. Apply manual override to valid
3. Review routing</t>
        </is>
      </c>
      <c r="E59" s="8" t="inlineStr">
        <is>
          <t>Workflow reopens alert, requires override reason, and proceeds to context gathering/ticket creation.</t>
        </is>
      </c>
      <c r="F59" s="9" t="inlineStr"/>
      <c r="G59" s="8" t="inlineStr">
        <is>
          <t>Manual override=True</t>
        </is>
      </c>
      <c r="H59" s="8" t="inlineStr">
        <is>
          <t>High</t>
        </is>
      </c>
      <c r="I59" s="9" t="inlineStr">
        <is>
          <t>Not Executed</t>
        </is>
      </c>
      <c r="J59" s="9" t="inlineStr">
        <is>
          <t>Human-in-loop</t>
        </is>
      </c>
    </row>
    <row r="60" ht="95" customHeight="1">
      <c r="A60" s="10" t="inlineStr">
        <is>
          <t>AW-056</t>
        </is>
      </c>
      <c r="B60" s="10" t="inlineStr">
        <is>
          <t>Datadog API returns HTTP 500</t>
        </is>
      </c>
      <c r="C60" s="10" t="inlineStr">
        <is>
          <t>• Integration endpoint can be mocked or controlled
• Alert Wedge retry/error handling configuration is enabled
• Observability logs are accessible</t>
        </is>
      </c>
      <c r="D60" s="10" t="inlineStr">
        <is>
          <t>1. Trigger a Datadog alert
2. Mock Datadog API response as HTTP 500
3. Run context gathering
4. Review retry and error records</t>
        </is>
      </c>
      <c r="E60" s="10" t="inlineStr">
        <is>
          <t>Alert processing continues in degraded mode; retry is scheduled and error is logged with source=Datadog.</t>
        </is>
      </c>
      <c r="F60" s="11" t="inlineStr"/>
      <c r="G60" s="10" t="inlineStr">
        <is>
          <t>HTTP 500</t>
        </is>
      </c>
      <c r="H60" s="10" t="inlineStr">
        <is>
          <t>Critical</t>
        </is>
      </c>
      <c r="I60" s="11" t="inlineStr">
        <is>
          <t>Not Executed</t>
        </is>
      </c>
      <c r="J60" s="11" t="inlineStr">
        <is>
          <t>Datadog service failure</t>
        </is>
      </c>
    </row>
    <row r="61" ht="95" customHeight="1">
      <c r="A61" s="8" t="inlineStr">
        <is>
          <t>AW-057</t>
        </is>
      </c>
      <c r="B61" s="8" t="inlineStr">
        <is>
          <t>Datadog API timeout</t>
        </is>
      </c>
      <c r="C61" s="8" t="inlineStr">
        <is>
          <t>• Integration endpoint can be mocked or controlled
• Alert Wedge retry/error handling configuration is enabled
• Observability logs are accessible</t>
        </is>
      </c>
      <c r="D61" s="8" t="inlineStr">
        <is>
          <t>1. Trigger Datadog alert
2. Delay Datadog API response beyond configured timeout
3. Review workflow state</t>
        </is>
      </c>
      <c r="E61" s="8" t="inlineStr">
        <is>
          <t>Request times out gracefully; retry/backoff policy is applied without blocking entire workflow.</t>
        </is>
      </c>
      <c r="F61" s="9" t="inlineStr"/>
      <c r="G61" s="8" t="inlineStr">
        <is>
          <t>API delay=60 seconds</t>
        </is>
      </c>
      <c r="H61" s="8" t="inlineStr">
        <is>
          <t>Critical</t>
        </is>
      </c>
      <c r="I61" s="9" t="inlineStr">
        <is>
          <t>Not Executed</t>
        </is>
      </c>
      <c r="J61" s="9" t="inlineStr">
        <is>
          <t>Timeout handling</t>
        </is>
      </c>
    </row>
    <row r="62" ht="95" customHeight="1">
      <c r="A62" s="10" t="inlineStr">
        <is>
          <t>AW-058</t>
        </is>
      </c>
      <c r="B62" s="10" t="inlineStr">
        <is>
          <t>Datadog API 401 Unauthorized</t>
        </is>
      </c>
      <c r="C62" s="10" t="inlineStr">
        <is>
          <t>• Integration endpoint can be mocked or controlled
• Alert Wedge retry/error handling configuration is enabled
• Observability logs are accessible</t>
        </is>
      </c>
      <c r="D62" s="10" t="inlineStr">
        <is>
          <t>1. Invalidate Datadog API token
2. Request monitor/context details
3. Review error handling and notification</t>
        </is>
      </c>
      <c r="E62" s="10" t="inlineStr">
        <is>
          <t>Authentication failure is logged, token issue is surfaced to support/admin, and alert remains preserved.</t>
        </is>
      </c>
      <c r="F62" s="11" t="inlineStr"/>
      <c r="G62" s="10" t="inlineStr">
        <is>
          <t>Invalid API key</t>
        </is>
      </c>
      <c r="H62" s="10" t="inlineStr">
        <is>
          <t>Critical</t>
        </is>
      </c>
      <c r="I62" s="11" t="inlineStr">
        <is>
          <t>Not Executed</t>
        </is>
      </c>
      <c r="J62" s="11" t="inlineStr">
        <is>
          <t>Auth failure</t>
        </is>
      </c>
    </row>
    <row r="63" ht="95" customHeight="1">
      <c r="A63" s="8" t="inlineStr">
        <is>
          <t>AW-059</t>
        </is>
      </c>
      <c r="B63" s="8" t="inlineStr">
        <is>
          <t>Datadog API 403 Forbidden</t>
        </is>
      </c>
      <c r="C63" s="8" t="inlineStr">
        <is>
          <t>• Integration endpoint can be mocked or controlled
• Alert Wedge retry/error handling configuration is enabled
• Observability logs are accessible</t>
        </is>
      </c>
      <c r="D63" s="8" t="inlineStr">
        <is>
          <t>1. Remove required Datadog permission
2. Request context
3. Review workflow fallback</t>
        </is>
      </c>
      <c r="E63" s="8" t="inlineStr">
        <is>
          <t>Access denied is handled without crash; alert is flagged for manual review or credential correction.</t>
        </is>
      </c>
      <c r="F63" s="9" t="inlineStr"/>
      <c r="G63" s="8" t="inlineStr">
        <is>
          <t>Missing monitor_read permission</t>
        </is>
      </c>
      <c r="H63" s="8" t="inlineStr">
        <is>
          <t>High</t>
        </is>
      </c>
      <c r="I63" s="9" t="inlineStr">
        <is>
          <t>Not Executed</t>
        </is>
      </c>
      <c r="J63" s="9" t="inlineStr">
        <is>
          <t>RBAC</t>
        </is>
      </c>
    </row>
    <row r="64" ht="95" customHeight="1">
      <c r="A64" s="10" t="inlineStr">
        <is>
          <t>AW-060</t>
        </is>
      </c>
      <c r="B64" s="10" t="inlineStr">
        <is>
          <t>Datadog API malformed JSON</t>
        </is>
      </c>
      <c r="C64" s="10" t="inlineStr">
        <is>
          <t>• Integration endpoint can be mocked or controlled
• Alert Wedge retry/error handling configuration is enabled
• Observability logs are accessible</t>
        </is>
      </c>
      <c r="D64" s="10" t="inlineStr">
        <is>
          <t>1. Mock Datadog response with malformed JSON
2. Run context parser
3. Review validation</t>
        </is>
      </c>
      <c r="E64" s="10" t="inlineStr">
        <is>
          <t>Parsing error is detected and alert is routed to manual review with raw response reference if safe.</t>
        </is>
      </c>
      <c r="F64" s="11" t="inlineStr"/>
      <c r="G64" s="10" t="inlineStr">
        <is>
          <t>Invalid JSON response</t>
        </is>
      </c>
      <c r="H64" s="10" t="inlineStr">
        <is>
          <t>High</t>
        </is>
      </c>
      <c r="I64" s="11" t="inlineStr">
        <is>
          <t>Not Executed</t>
        </is>
      </c>
      <c r="J64" s="11" t="inlineStr">
        <is>
          <t>Malformed response</t>
        </is>
      </c>
    </row>
    <row r="65" ht="95" customHeight="1">
      <c r="A65" s="8" t="inlineStr">
        <is>
          <t>AW-061</t>
        </is>
      </c>
      <c r="B65" s="8" t="inlineStr">
        <is>
          <t>PaaS API unavailable</t>
        </is>
      </c>
      <c r="C65" s="8" t="inlineStr">
        <is>
          <t>• Integration endpoint can be mocked or controlled
• Alert Wedge retry/error handling configuration is enabled
• Observability logs are accessible</t>
        </is>
      </c>
      <c r="D65" s="8" t="inlineStr">
        <is>
          <t>1. Trigger PaaS alert
2. Disable PaaS context endpoint
3. Run enrichment</t>
        </is>
      </c>
      <c r="E65" s="8" t="inlineStr">
        <is>
          <t>Workflow retries and preserves alert state; context failure does not delete or lose alert.</t>
        </is>
      </c>
      <c r="F65" s="9" t="inlineStr"/>
      <c r="G65" s="8" t="inlineStr">
        <is>
          <t>PaaS endpoint down</t>
        </is>
      </c>
      <c r="H65" s="8" t="inlineStr">
        <is>
          <t>Critical</t>
        </is>
      </c>
      <c r="I65" s="9" t="inlineStr">
        <is>
          <t>Not Executed</t>
        </is>
      </c>
      <c r="J65" s="9" t="inlineStr">
        <is>
          <t>Source unavailable</t>
        </is>
      </c>
    </row>
    <row r="66" ht="95" customHeight="1">
      <c r="A66" s="10" t="inlineStr">
        <is>
          <t>AW-062</t>
        </is>
      </c>
      <c r="B66" s="10" t="inlineStr">
        <is>
          <t>PaaS API 404 for service lookup</t>
        </is>
      </c>
      <c r="C66" s="10" t="inlineStr">
        <is>
          <t>• Integration endpoint can be mocked or controlled
• Alert Wedge retry/error handling configuration is enabled
• Observability logs are accessible</t>
        </is>
      </c>
      <c r="D66" s="10" t="inlineStr">
        <is>
          <t>1. Send alert with unknown service ID
2. Request PaaS context
3. Review fallback route</t>
        </is>
      </c>
      <c r="E66" s="10" t="inlineStr">
        <is>
          <t>Service lookup failure is flagged; alert is assigned to manual triage or fallback queue.</t>
        </is>
      </c>
      <c r="F66" s="11" t="inlineStr"/>
      <c r="G66" s="10" t="inlineStr">
        <is>
          <t>service_id not found</t>
        </is>
      </c>
      <c r="H66" s="10" t="inlineStr">
        <is>
          <t>High</t>
        </is>
      </c>
      <c r="I66" s="11" t="inlineStr">
        <is>
          <t>Not Executed</t>
        </is>
      </c>
      <c r="J66" s="11" t="inlineStr">
        <is>
          <t>Lookup failure</t>
        </is>
      </c>
    </row>
    <row r="67" ht="95" customHeight="1">
      <c r="A67" s="8" t="inlineStr">
        <is>
          <t>AW-063</t>
        </is>
      </c>
      <c r="B67" s="8" t="inlineStr">
        <is>
          <t>GCC API returns empty response</t>
        </is>
      </c>
      <c r="C67" s="8" t="inlineStr">
        <is>
          <t>• Integration endpoint can be mocked or controlled
• Alert Wedge retry/error handling configuration is enabled
• Observability logs are accessible</t>
        </is>
      </c>
      <c r="D67" s="8" t="inlineStr">
        <is>
          <t>1. Submit valid alert
2. Mock GCC response as 200 with empty body
3. Review enrichment outcome</t>
        </is>
      </c>
      <c r="E67" s="8" t="inlineStr">
        <is>
          <t>Alert is marked incomplete and escalated for manual investigation or retry according to policy.</t>
        </is>
      </c>
      <c r="F67" s="9" t="inlineStr"/>
      <c r="G67" s="8" t="inlineStr">
        <is>
          <t>HTTP 200 body empty</t>
        </is>
      </c>
      <c r="H67" s="8" t="inlineStr">
        <is>
          <t>High</t>
        </is>
      </c>
      <c r="I67" s="9" t="inlineStr">
        <is>
          <t>Not Executed</t>
        </is>
      </c>
      <c r="J67" s="9" t="inlineStr">
        <is>
          <t>Empty response</t>
        </is>
      </c>
    </row>
    <row r="68" ht="95" customHeight="1">
      <c r="A68" s="10" t="inlineStr">
        <is>
          <t>AW-064</t>
        </is>
      </c>
      <c r="B68" s="10" t="inlineStr">
        <is>
          <t>GCC API partial response</t>
        </is>
      </c>
      <c r="C68" s="10" t="inlineStr">
        <is>
          <t>• Integration endpoint can be mocked or controlled
• Alert Wedge retry/error handling configuration is enabled
• Observability logs are accessible</t>
        </is>
      </c>
      <c r="D68" s="10" t="inlineStr">
        <is>
          <t>1. Submit alert
2. Return GCC response missing key fields
3. Review field validation</t>
        </is>
      </c>
      <c r="E68" s="10" t="inlineStr">
        <is>
          <t>Partial context is retained, missing fields are flagged, and supplemental lookup/manual review is initiated.</t>
        </is>
      </c>
      <c r="F68" s="11" t="inlineStr"/>
      <c r="G68" s="10" t="inlineStr">
        <is>
          <t>Missing owner and impact fields</t>
        </is>
      </c>
      <c r="H68" s="10" t="inlineStr">
        <is>
          <t>High</t>
        </is>
      </c>
      <c r="I68" s="11" t="inlineStr">
        <is>
          <t>Not Executed</t>
        </is>
      </c>
      <c r="J68" s="11" t="inlineStr">
        <is>
          <t>Partial response</t>
        </is>
      </c>
    </row>
    <row r="69" ht="95" customHeight="1">
      <c r="A69" s="8" t="inlineStr">
        <is>
          <t>AW-065</t>
        </is>
      </c>
      <c r="B69" s="8" t="inlineStr">
        <is>
          <t>Jira API unavailable during ticket creation</t>
        </is>
      </c>
      <c r="C69" s="8" t="inlineStr">
        <is>
          <t>• Integration endpoint can be mocked or controlled
• Alert Wedge retry/error handling configuration is enabled
• Observability logs are accessible</t>
        </is>
      </c>
      <c r="D69" s="8" t="inlineStr">
        <is>
          <t>1. Process valid incident
2. Mock Jira as unavailable HTTP 503
3. Review queue and status</t>
        </is>
      </c>
      <c r="E69" s="8" t="inlineStr">
        <is>
          <t>Ticket request is queued/retried; incident data is preserved and no ticket is marked created until success.</t>
        </is>
      </c>
      <c r="F69" s="9" t="inlineStr"/>
      <c r="G69" s="8" t="inlineStr">
        <is>
          <t>HTTP 503</t>
        </is>
      </c>
      <c r="H69" s="8" t="inlineStr">
        <is>
          <t>Critical</t>
        </is>
      </c>
      <c r="I69" s="9" t="inlineStr">
        <is>
          <t>Not Executed</t>
        </is>
      </c>
      <c r="J69" s="9" t="inlineStr">
        <is>
          <t>Ticket preservation</t>
        </is>
      </c>
    </row>
    <row r="70" ht="95" customHeight="1">
      <c r="A70" s="10" t="inlineStr">
        <is>
          <t>AW-066</t>
        </is>
      </c>
      <c r="B70" s="10" t="inlineStr">
        <is>
          <t>Jira API timeout</t>
        </is>
      </c>
      <c r="C70" s="10" t="inlineStr">
        <is>
          <t>• Integration endpoint can be mocked or controlled
• Alert Wedge retry/error handling configuration is enabled
• Observability logs are accessible</t>
        </is>
      </c>
      <c r="D70" s="10" t="inlineStr">
        <is>
          <t>1. Trigger incident ticket creation
2. Delay Jira API response beyond timeout
3. Review retried request</t>
        </is>
      </c>
      <c r="E70" s="10" t="inlineStr">
        <is>
          <t>Timeout is handled with idempotent retry logic; no duplicate Jira ticket is created.</t>
        </is>
      </c>
      <c r="F70" s="11" t="inlineStr"/>
      <c r="G70" s="10" t="inlineStr">
        <is>
          <t>Jira timeout</t>
        </is>
      </c>
      <c r="H70" s="10" t="inlineStr">
        <is>
          <t>Critical</t>
        </is>
      </c>
      <c r="I70" s="11" t="inlineStr">
        <is>
          <t>Not Executed</t>
        </is>
      </c>
      <c r="J70" s="11" t="inlineStr">
        <is>
          <t>Jira timeout</t>
        </is>
      </c>
    </row>
    <row r="71" ht="95" customHeight="1">
      <c r="A71" s="8" t="inlineStr">
        <is>
          <t>AW-067</t>
        </is>
      </c>
      <c r="B71" s="8" t="inlineStr">
        <is>
          <t>Jira API conflict duplicate response</t>
        </is>
      </c>
      <c r="C71" s="8" t="inlineStr">
        <is>
          <t>• Integration endpoint can be mocked or controlled
• Alert Wedge retry/error handling configuration is enabled
• Observability logs are accessible</t>
        </is>
      </c>
      <c r="D71" s="8" t="inlineStr">
        <is>
          <t>1. Submit same incident twice
2. Mock Jira HTTP 409 conflict
3. Review ticket linkage</t>
        </is>
      </c>
      <c r="E71" s="8" t="inlineStr">
        <is>
          <t>Existing ticket is linked to Alert Wedge record; duplicate ticket creation is prevented.</t>
        </is>
      </c>
      <c r="F71" s="9" t="inlineStr"/>
      <c r="G71" s="8" t="inlineStr">
        <is>
          <t>HTTP 409; same external_id</t>
        </is>
      </c>
      <c r="H71" s="8" t="inlineStr">
        <is>
          <t>High</t>
        </is>
      </c>
      <c r="I71" s="9" t="inlineStr">
        <is>
          <t>Not Executed</t>
        </is>
      </c>
      <c r="J71" s="9" t="inlineStr">
        <is>
          <t>Duplicate prevention</t>
        </is>
      </c>
    </row>
    <row r="72" ht="95" customHeight="1">
      <c r="A72" s="10" t="inlineStr">
        <is>
          <t>AW-068</t>
        </is>
      </c>
      <c r="B72" s="10" t="inlineStr">
        <is>
          <t>Jira API 401 Unauthorized</t>
        </is>
      </c>
      <c r="C72" s="10" t="inlineStr">
        <is>
          <t>• Integration endpoint can be mocked or controlled
• Alert Wedge retry/error handling configuration is enabled
• Observability logs are accessible</t>
        </is>
      </c>
      <c r="D72" s="10" t="inlineStr">
        <is>
          <t>1. Invalidate Jira token
2. Create ticket
3. Review alerts and logs</t>
        </is>
      </c>
      <c r="E72" s="10" t="inlineStr">
        <is>
          <t>Auth error is logged and admin/support notification is generated; alert remains pending ticket creation.</t>
        </is>
      </c>
      <c r="F72" s="11" t="inlineStr"/>
      <c r="G72" s="10" t="inlineStr">
        <is>
          <t>Invalid Jira token</t>
        </is>
      </c>
      <c r="H72" s="10" t="inlineStr">
        <is>
          <t>Critical</t>
        </is>
      </c>
      <c r="I72" s="11" t="inlineStr">
        <is>
          <t>Not Executed</t>
        </is>
      </c>
      <c r="J72" s="11" t="inlineStr">
        <is>
          <t>Jira auth</t>
        </is>
      </c>
    </row>
    <row r="73" ht="95" customHeight="1">
      <c r="A73" s="8" t="inlineStr">
        <is>
          <t>AW-069</t>
        </is>
      </c>
      <c r="B73" s="8" t="inlineStr">
        <is>
          <t>Jira API 429 rate limit exceeded</t>
        </is>
      </c>
      <c r="C73" s="8" t="inlineStr">
        <is>
          <t>• Integration endpoint can be mocked or controlled
• Alert Wedge retry/error handling configuration is enabled
• Observability logs are accessible</t>
        </is>
      </c>
      <c r="D73" s="8" t="inlineStr">
        <is>
          <t>1. Submit high volume ticket requests
2. Mock Jira rate limiting
3. Review retry schedule</t>
        </is>
      </c>
      <c r="E73" s="8" t="inlineStr">
        <is>
          <t>System respects retry-after/cooldown and continues processing without dropping ticket requests.</t>
        </is>
      </c>
      <c r="F73" s="9" t="inlineStr"/>
      <c r="G73" s="8" t="inlineStr">
        <is>
          <t>HTTP 429 Retry-After=120</t>
        </is>
      </c>
      <c r="H73" s="8" t="inlineStr">
        <is>
          <t>Critical</t>
        </is>
      </c>
      <c r="I73" s="9" t="inlineStr">
        <is>
          <t>Not Executed</t>
        </is>
      </c>
      <c r="J73" s="9" t="inlineStr">
        <is>
          <t>Rate limiting</t>
        </is>
      </c>
    </row>
    <row r="74" ht="95" customHeight="1">
      <c r="A74" s="10" t="inlineStr">
        <is>
          <t>AW-070</t>
        </is>
      </c>
      <c r="B74" s="10" t="inlineStr">
        <is>
          <t>Alert Correlation API unavailable</t>
        </is>
      </c>
      <c r="C74" s="10" t="inlineStr">
        <is>
          <t>• Integration endpoint can be mocked or controlled
• Alert Wedge retry/error handling configuration is enabled
• Observability logs are accessible</t>
        </is>
      </c>
      <c r="D74" s="10" t="inlineStr">
        <is>
          <t>1. Submit alert batch
2. Disable correlation API
3. Review fallback routing</t>
        </is>
      </c>
      <c r="E74" s="10" t="inlineStr">
        <is>
          <t>Alerts are routed to fallback/manual review or queued until correlation service recovers.</t>
        </is>
      </c>
      <c r="F74" s="11" t="inlineStr"/>
      <c r="G74" s="10" t="inlineStr">
        <is>
          <t>Correlation service down</t>
        </is>
      </c>
      <c r="H74" s="10" t="inlineStr">
        <is>
          <t>Critical</t>
        </is>
      </c>
      <c r="I74" s="11" t="inlineStr">
        <is>
          <t>Not Executed</t>
        </is>
      </c>
      <c r="J74" s="11" t="inlineStr">
        <is>
          <t>Core dependency</t>
        </is>
      </c>
    </row>
    <row r="75" ht="95" customHeight="1">
      <c r="A75" s="8" t="inlineStr">
        <is>
          <t>AW-071</t>
        </is>
      </c>
      <c r="B75" s="8" t="inlineStr">
        <is>
          <t>Alert Correlation API returns wrong IDs</t>
        </is>
      </c>
      <c r="C75" s="8" t="inlineStr">
        <is>
          <t>• Integration endpoint can be mocked or controlled
• Alert Wedge retry/error handling configuration is enabled
• Observability logs are accessible</t>
        </is>
      </c>
      <c r="D75" s="8" t="inlineStr">
        <is>
          <t>1. Submit related and unrelated alerts
2. Mock response with incorrect mapping
3. Validate pre-ticket review</t>
        </is>
      </c>
      <c r="E75" s="8" t="inlineStr">
        <is>
          <t>Inconsistent or impossible mapping is detected before ticket creation and flagged for manual review.</t>
        </is>
      </c>
      <c r="F75" s="9" t="inlineStr"/>
      <c r="G75" s="8" t="inlineStr">
        <is>
          <t>Wrong alert IDs in response</t>
        </is>
      </c>
      <c r="H75" s="8" t="inlineStr">
        <is>
          <t>High</t>
        </is>
      </c>
      <c r="I75" s="9" t="inlineStr">
        <is>
          <t>Not Executed</t>
        </is>
      </c>
      <c r="J75" s="9" t="inlineStr">
        <is>
          <t>Correlation integrity</t>
        </is>
      </c>
    </row>
    <row r="76" ht="95" customHeight="1">
      <c r="A76" s="10" t="inlineStr">
        <is>
          <t>AW-072</t>
        </is>
      </c>
      <c r="B76" s="10" t="inlineStr">
        <is>
          <t>DingTalk notification API failure</t>
        </is>
      </c>
      <c r="C76" s="10" t="inlineStr">
        <is>
          <t>• Integration endpoint can be mocked or controlled
• Alert Wedge retry/error handling configuration is enabled
• Observability logs are accessible</t>
        </is>
      </c>
      <c r="D76" s="10" t="inlineStr">
        <is>
          <t>1. Generate critical alert
2. Mock DingTalk API HTTP 500
3. Review alert and notification status</t>
        </is>
      </c>
      <c r="E76" s="10" t="inlineStr">
        <is>
          <t>Alert workflow continues; notification failure is logged and retried or alternate channel is used.</t>
        </is>
      </c>
      <c r="F76" s="11" t="inlineStr"/>
      <c r="G76" s="10" t="inlineStr">
        <is>
          <t>DingTalk HTTP 500</t>
        </is>
      </c>
      <c r="H76" s="10" t="inlineStr">
        <is>
          <t>High</t>
        </is>
      </c>
      <c r="I76" s="11" t="inlineStr">
        <is>
          <t>Not Executed</t>
        </is>
      </c>
      <c r="J76" s="11" t="inlineStr">
        <is>
          <t>Notification failure</t>
        </is>
      </c>
    </row>
    <row r="77" ht="95" customHeight="1">
      <c r="A77" s="8" t="inlineStr">
        <is>
          <t>AW-073</t>
        </is>
      </c>
      <c r="B77" s="8" t="inlineStr">
        <is>
          <t>GChat notification API failure</t>
        </is>
      </c>
      <c r="C77" s="8" t="inlineStr">
        <is>
          <t>• Integration endpoint can be mocked or controlled
• Alert Wedge retry/error handling configuration is enabled
• Observability logs are accessible</t>
        </is>
      </c>
      <c r="D77" s="8" t="inlineStr">
        <is>
          <t>1. Generate alert requiring notification
2. Disable GChat endpoint
3. Review notification fallback</t>
        </is>
      </c>
      <c r="E77" s="8" t="inlineStr">
        <is>
          <t>Workflow continues and applies retry/alternate channel logic if configured.</t>
        </is>
      </c>
      <c r="F77" s="9" t="inlineStr"/>
      <c r="G77" s="8" t="inlineStr">
        <is>
          <t>Connection refused</t>
        </is>
      </c>
      <c r="H77" s="8" t="inlineStr">
        <is>
          <t>High</t>
        </is>
      </c>
      <c r="I77" s="9" t="inlineStr">
        <is>
          <t>Not Executed</t>
        </is>
      </c>
      <c r="J77" s="9" t="inlineStr">
        <is>
          <t>Notification failure</t>
        </is>
      </c>
    </row>
    <row r="78" ht="95" customHeight="1">
      <c r="A78" s="10" t="inlineStr">
        <is>
          <t>AW-074</t>
        </is>
      </c>
      <c r="B78" s="10" t="inlineStr">
        <is>
          <t>Viber notification API failure</t>
        </is>
      </c>
      <c r="C78" s="10" t="inlineStr">
        <is>
          <t>• Integration endpoint can be mocked or controlled
• Alert Wedge retry/error handling configuration is enabled
• Observability logs are accessible</t>
        </is>
      </c>
      <c r="D78" s="10" t="inlineStr">
        <is>
          <t>1. Trigger incident notification
2. Mock Viber API outage
3. Review workflow state</t>
        </is>
      </c>
      <c r="E78" s="10" t="inlineStr">
        <is>
          <t>Alert is not lost; failed notification is recorded and retried based on policy.</t>
        </is>
      </c>
      <c r="F78" s="11" t="inlineStr"/>
      <c r="G78" s="10" t="inlineStr">
        <is>
          <t>Viber API down</t>
        </is>
      </c>
      <c r="H78" s="10" t="inlineStr">
        <is>
          <t>Medium</t>
        </is>
      </c>
      <c r="I78" s="11" t="inlineStr">
        <is>
          <t>Not Executed</t>
        </is>
      </c>
      <c r="J78" s="11" t="inlineStr">
        <is>
          <t>Optional channel</t>
        </is>
      </c>
    </row>
    <row r="79" ht="95" customHeight="1">
      <c r="A79" s="8" t="inlineStr">
        <is>
          <t>AW-075</t>
        </is>
      </c>
      <c r="B79" s="8" t="inlineStr">
        <is>
          <t>API returns stale data</t>
        </is>
      </c>
      <c r="C79" s="8" t="inlineStr">
        <is>
          <t>• Integration endpoint can be mocked or controlled
• Alert Wedge retry/error handling configuration is enabled
• Observability logs are accessible</t>
        </is>
      </c>
      <c r="D79" s="8" t="inlineStr">
        <is>
          <t>1. Request alert context
2. Mock API with old timestamped context
3. Run freshness validation</t>
        </is>
      </c>
      <c r="E79" s="8" t="inlineStr">
        <is>
          <t>System detects stale data, warns user/agent, and avoids using stale context as final truth without review.</t>
        </is>
      </c>
      <c r="F79" s="9" t="inlineStr"/>
      <c r="G79" s="8" t="inlineStr">
        <is>
          <t>Context timestamp older than 24 hours</t>
        </is>
      </c>
      <c r="H79" s="8" t="inlineStr">
        <is>
          <t>High</t>
        </is>
      </c>
      <c r="I79" s="9" t="inlineStr">
        <is>
          <t>Not Executed</t>
        </is>
      </c>
      <c r="J79" s="9" t="inlineStr">
        <is>
          <t>Freshness</t>
        </is>
      </c>
    </row>
    <row r="80" ht="95" customHeight="1">
      <c r="A80" s="10" t="inlineStr">
        <is>
          <t>AW-076</t>
        </is>
      </c>
      <c r="B80" s="10" t="inlineStr">
        <is>
          <t>API response exceeds payload limit</t>
        </is>
      </c>
      <c r="C80" s="10" t="inlineStr">
        <is>
          <t>• Integration endpoint can be mocked or controlled
• Alert Wedge retry/error handling configuration is enabled
• Observability logs are accessible</t>
        </is>
      </c>
      <c r="D80" s="10" t="inlineStr">
        <is>
          <t>1. Mock large API response
2. Run context ingestion
3. Review memory and truncation behavior</t>
        </is>
      </c>
      <c r="E80" s="10" t="inlineStr">
        <is>
          <t>Payload is handled safely, stored/truncated per policy, and does not crash workflow.</t>
        </is>
      </c>
      <c r="F80" s="11" t="inlineStr"/>
      <c r="G80" s="10" t="inlineStr">
        <is>
          <t>10MB response body</t>
        </is>
      </c>
      <c r="H80" s="10" t="inlineStr">
        <is>
          <t>Medium</t>
        </is>
      </c>
      <c r="I80" s="11" t="inlineStr">
        <is>
          <t>Not Executed</t>
        </is>
      </c>
      <c r="J80" s="11" t="inlineStr">
        <is>
          <t>Boundary</t>
        </is>
      </c>
    </row>
    <row r="81" ht="95" customHeight="1">
      <c r="A81" s="8" t="inlineStr">
        <is>
          <t>AW-077</t>
        </is>
      </c>
      <c r="B81" s="8" t="inlineStr">
        <is>
          <t>Multiple APIs fail simultaneously</t>
        </is>
      </c>
      <c r="C81" s="8" t="inlineStr">
        <is>
          <t>• Integration endpoint can be mocked or controlled
• Alert Wedge retry/error handling configuration is enabled
• Observability logs are accessible</t>
        </is>
      </c>
      <c r="D81" s="8" t="inlineStr">
        <is>
          <t>1. Trigger valid alert
2. Disable Datadog, GCC, and Jira APIs
3. Review degraded mode</t>
        </is>
      </c>
      <c r="E81" s="8" t="inlineStr">
        <is>
          <t>Workflow enters degraded mode, preserves incident data, retries dependencies, and surfaces operational alert.</t>
        </is>
      </c>
      <c r="F81" s="9" t="inlineStr"/>
      <c r="G81" s="8" t="inlineStr">
        <is>
          <t>Datadog+GCC+Jira down</t>
        </is>
      </c>
      <c r="H81" s="8" t="inlineStr">
        <is>
          <t>Critical</t>
        </is>
      </c>
      <c r="I81" s="9" t="inlineStr">
        <is>
          <t>Not Executed</t>
        </is>
      </c>
      <c r="J81" s="9" t="inlineStr">
        <is>
          <t>Disaster recovery</t>
        </is>
      </c>
    </row>
    <row r="82" ht="95" customHeight="1">
      <c r="A82" s="10" t="inlineStr">
        <is>
          <t>AW-078</t>
        </is>
      </c>
      <c r="B82" s="10" t="inlineStr">
        <is>
          <t>Intermittent API failures</t>
        </is>
      </c>
      <c r="C82" s="10" t="inlineStr">
        <is>
          <t>• Integration endpoint can be mocked or controlled
• Alert Wedge retry/error handling configuration is enabled
• Observability logs are accessible</t>
        </is>
      </c>
      <c r="D82" s="10" t="inlineStr">
        <is>
          <t>1. Alternate successful and failed API responses
2. Process several alerts
3. Review circuit breaker/retry behavior</t>
        </is>
      </c>
      <c r="E82" s="10" t="inlineStr">
        <is>
          <t>Retry and circuit breaker logic operate correctly; successful responses resume normal processing.</t>
        </is>
      </c>
      <c r="F82" s="11" t="inlineStr"/>
      <c r="G82" s="10" t="inlineStr">
        <is>
          <t>Flaky 50% failure rate</t>
        </is>
      </c>
      <c r="H82" s="10" t="inlineStr">
        <is>
          <t>Critical</t>
        </is>
      </c>
      <c r="I82" s="11" t="inlineStr">
        <is>
          <t>Not Executed</t>
        </is>
      </c>
      <c r="J82" s="11" t="inlineStr">
        <is>
          <t>Production-like instability</t>
        </is>
      </c>
    </row>
    <row r="83" ht="95" customHeight="1">
      <c r="A83" s="8" t="inlineStr">
        <is>
          <t>AW-079</t>
        </is>
      </c>
      <c r="B83" s="8" t="inlineStr">
        <is>
          <t>Expired API SSL certificate</t>
        </is>
      </c>
      <c r="C83" s="8" t="inlineStr">
        <is>
          <t>• Integration endpoint can be mocked or controlled
• Alert Wedge retry/error handling configuration is enabled
• Observability logs are accessible</t>
        </is>
      </c>
      <c r="D83" s="8" t="inlineStr">
        <is>
          <t>1. Simulate expired certificate on integration endpoint
2. Invoke API
3. Review security handling</t>
        </is>
      </c>
      <c r="E83" s="8" t="inlineStr">
        <is>
          <t>Connection is rejected securely and certificate error is logged with no insecure fallback.</t>
        </is>
      </c>
      <c r="F83" s="9" t="inlineStr"/>
      <c r="G83" s="8" t="inlineStr">
        <is>
          <t>Expired TLS cert</t>
        </is>
      </c>
      <c r="H83" s="8" t="inlineStr">
        <is>
          <t>High</t>
        </is>
      </c>
      <c r="I83" s="9" t="inlineStr">
        <is>
          <t>Not Executed</t>
        </is>
      </c>
      <c r="J83" s="9" t="inlineStr">
        <is>
          <t>Security</t>
        </is>
      </c>
    </row>
    <row r="84" ht="95" customHeight="1">
      <c r="A84" s="10" t="inlineStr">
        <is>
          <t>AW-080</t>
        </is>
      </c>
      <c r="B84" s="10" t="inlineStr">
        <is>
          <t>API recovery after outage</t>
        </is>
      </c>
      <c r="C84" s="10" t="inlineStr">
        <is>
          <t>• Integration endpoint can be mocked or controlled
• Alert Wedge retry/error handling configuration is enabled
• Observability logs are accessible</t>
        </is>
      </c>
      <c r="D84" s="10" t="inlineStr">
        <is>
          <t>1. Queue alerts while API is down
2. Restore affected API
3. Monitor backlog processing</t>
        </is>
      </c>
      <c r="E84" s="10" t="inlineStr">
        <is>
          <t>Queued alerts/ticket requests process successfully after recovery without duplicates or lost updates.</t>
        </is>
      </c>
      <c r="F84" s="11" t="inlineStr"/>
      <c r="G84" s="10" t="inlineStr">
        <is>
          <t>Service restored after 15 minutes</t>
        </is>
      </c>
      <c r="H84" s="10" t="inlineStr">
        <is>
          <t>Critical</t>
        </is>
      </c>
      <c r="I84" s="11" t="inlineStr">
        <is>
          <t>Not Executed</t>
        </is>
      </c>
      <c r="J84" s="11" t="inlineStr">
        <is>
          <t>Recovery validation</t>
        </is>
      </c>
    </row>
  </sheetData>
  <mergeCells count="2">
    <mergeCell ref="A1:J1"/>
    <mergeCell ref="A2:J2"/>
  </mergeCells>
  <conditionalFormatting sqref="I5:I84">
    <cfRule type="expression" priority="1" dxfId="0">
      <formula>I5="Pass"</formula>
    </cfRule>
    <cfRule type="expression" priority="2" dxfId="1">
      <formula>I5="Fail"</formula>
    </cfRule>
    <cfRule type="expression" priority="3" dxfId="2">
      <formula>I5="Blocked"</formula>
    </cfRule>
  </conditionalFormatting>
  <conditionalFormatting sqref="H5:H84">
    <cfRule type="expression" priority="4" dxfId="1">
      <formula>H5="Critical"</formula>
    </cfRule>
    <cfRule type="expression" priority="5" dxfId="2">
      <formula>H5="High"</formula>
    </cfRule>
  </conditionalFormatting>
  <dataValidations count="2">
    <dataValidation sqref="I5:I84" showDropDown="0" showInputMessage="0" showErrorMessage="0" allowBlank="1" type="list">
      <formula1>"Not Executed,Pass,Fail,Blocked,In Progress,Deferred,N/A"</formula1>
    </dataValidation>
    <dataValidation sqref="H5:H84" showDropDown="0" showInputMessage="0" showErrorMessage="0" allowBlank="1" type="list">
      <formula1>"Critical,High,Medium,Low"</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30" customWidth="1" min="1" max="1"/>
    <col width="24" customWidth="1" min="2" max="2"/>
    <col width="50" customWidth="1" min="3" max="3"/>
  </cols>
  <sheetData>
    <row r="1">
      <c r="A1" s="5" t="inlineStr">
        <is>
          <t>Execution Summary</t>
        </is>
      </c>
    </row>
    <row r="2"/>
    <row r="3">
      <c r="A3" s="12" t="inlineStr">
        <is>
          <t>Metric</t>
        </is>
      </c>
      <c r="B3" s="12" t="inlineStr">
        <is>
          <t>Formula / Value</t>
        </is>
      </c>
      <c r="C3" s="12" t="inlineStr">
        <is>
          <t>Notes</t>
        </is>
      </c>
      <c r="E3" s="12" t="inlineStr">
        <is>
          <t>Priority</t>
        </is>
      </c>
      <c r="F3" s="12" t="inlineStr">
        <is>
          <t>Count</t>
        </is>
      </c>
      <c r="H3" s="12" t="inlineStr">
        <is>
          <t>Status</t>
        </is>
      </c>
      <c r="I3" s="12" t="inlineStr">
        <is>
          <t>Count</t>
        </is>
      </c>
    </row>
    <row r="4">
      <c r="A4" s="3" t="inlineStr">
        <is>
          <t>Total Test Cases</t>
        </is>
      </c>
      <c r="B4" s="3">
        <f>COUNTA('Test Cases'!A5:A84)</f>
        <v/>
      </c>
      <c r="C4" s="3" t="inlineStr">
        <is>
          <t>All detailed cases in Test Cases sheet</t>
        </is>
      </c>
      <c r="E4" s="4" t="inlineStr">
        <is>
          <t>Critical</t>
        </is>
      </c>
      <c r="F4" s="4">
        <f>B5</f>
        <v/>
      </c>
      <c r="H4" s="4" t="inlineStr">
        <is>
          <t>Pass</t>
        </is>
      </c>
      <c r="I4" s="4">
        <f>B9</f>
        <v/>
      </c>
    </row>
    <row r="5">
      <c r="A5" s="3" t="inlineStr">
        <is>
          <t>Critical</t>
        </is>
      </c>
      <c r="B5" s="3">
        <f>COUNTIF('Test Cases'!H5:H84,"Critical")</f>
        <v/>
      </c>
      <c r="C5" s="3" t="inlineStr">
        <is>
          <t>Priority coverage</t>
        </is>
      </c>
      <c r="E5" s="4" t="inlineStr">
        <is>
          <t>High</t>
        </is>
      </c>
      <c r="F5" s="4">
        <f>B6</f>
        <v/>
      </c>
      <c r="H5" s="4" t="inlineStr">
        <is>
          <t>Fail</t>
        </is>
      </c>
      <c r="I5" s="4">
        <f>B10</f>
        <v/>
      </c>
    </row>
    <row r="6">
      <c r="A6" s="3" t="inlineStr">
        <is>
          <t>High</t>
        </is>
      </c>
      <c r="B6" s="3">
        <f>COUNTIF('Test Cases'!H5:H84,"High")</f>
        <v/>
      </c>
      <c r="C6" s="3" t="inlineStr">
        <is>
          <t>Priority coverage</t>
        </is>
      </c>
      <c r="E6" s="4" t="inlineStr">
        <is>
          <t>Medium</t>
        </is>
      </c>
      <c r="F6" s="4">
        <f>B7</f>
        <v/>
      </c>
      <c r="H6" s="4" t="inlineStr">
        <is>
          <t>Blocked</t>
        </is>
      </c>
      <c r="I6" s="4">
        <f>B11</f>
        <v/>
      </c>
    </row>
    <row r="7">
      <c r="A7" s="3" t="inlineStr">
        <is>
          <t>Medium</t>
        </is>
      </c>
      <c r="B7" s="3">
        <f>COUNTIF('Test Cases'!H5:H84,"Medium")</f>
        <v/>
      </c>
      <c r="C7" s="3" t="inlineStr">
        <is>
          <t>Priority coverage</t>
        </is>
      </c>
      <c r="E7" s="4" t="inlineStr">
        <is>
          <t>Low</t>
        </is>
      </c>
      <c r="F7" s="4">
        <f>B8</f>
        <v/>
      </c>
      <c r="H7" s="4" t="inlineStr">
        <is>
          <t>Not Executed</t>
        </is>
      </c>
      <c r="I7" s="4">
        <f>B12</f>
        <v/>
      </c>
    </row>
    <row r="8">
      <c r="A8" s="3" t="inlineStr">
        <is>
          <t>Low</t>
        </is>
      </c>
      <c r="B8" s="3">
        <f>COUNTIF('Test Cases'!H5:H84,"Low")</f>
        <v/>
      </c>
      <c r="C8" s="3" t="inlineStr">
        <is>
          <t>Priority coverage</t>
        </is>
      </c>
    </row>
    <row r="9">
      <c r="A9" s="3" t="inlineStr">
        <is>
          <t>Passed</t>
        </is>
      </c>
      <c r="B9" s="3">
        <f>COUNTIF('Test Cases'!I5:I84,"Pass")</f>
        <v/>
      </c>
      <c r="C9" s="3" t="inlineStr">
        <is>
          <t>Execution result</t>
        </is>
      </c>
    </row>
    <row r="10">
      <c r="A10" s="3" t="inlineStr">
        <is>
          <t>Failed</t>
        </is>
      </c>
      <c r="B10" s="3">
        <f>COUNTIF('Test Cases'!I5:I84,"Fail")</f>
        <v/>
      </c>
      <c r="C10" s="3" t="inlineStr">
        <is>
          <t>Execution result</t>
        </is>
      </c>
    </row>
    <row r="11">
      <c r="A11" s="3" t="inlineStr">
        <is>
          <t>Blocked</t>
        </is>
      </c>
      <c r="B11" s="3">
        <f>COUNTIF('Test Cases'!I5:I84,"Blocked")</f>
        <v/>
      </c>
      <c r="C11" s="3" t="inlineStr">
        <is>
          <t>Execution result</t>
        </is>
      </c>
    </row>
    <row r="12">
      <c r="A12" s="3" t="inlineStr">
        <is>
          <t>Not Executed</t>
        </is>
      </c>
      <c r="B12" s="3">
        <f>COUNTIF('Test Cases'!I5:I84,"Not Executed")</f>
        <v/>
      </c>
      <c r="C12" s="3" t="inlineStr">
        <is>
          <t>Execution result</t>
        </is>
      </c>
    </row>
    <row r="13">
      <c r="A13" s="3" t="inlineStr">
        <is>
          <t>Execution Completion %</t>
        </is>
      </c>
      <c r="B13" s="13">
        <f>IF(B4=0,0,(B9+B10+B11)/(B4))</f>
        <v/>
      </c>
      <c r="C13" s="3" t="inlineStr">
        <is>
          <t>Pass+Fail+Blocked over total</t>
        </is>
      </c>
    </row>
  </sheetData>
  <mergeCells count="1">
    <mergeCell ref="A1:H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55" customWidth="1" min="4" max="4"/>
    <col width="35" customWidth="1" min="5" max="5"/>
    <col width="40" customWidth="1" min="6" max="6"/>
  </cols>
  <sheetData>
    <row r="1">
      <c r="A1" s="14" t="inlineStr">
        <is>
          <t>Data Set ID</t>
        </is>
      </c>
      <c r="B1" s="14" t="inlineStr">
        <is>
          <t>Source</t>
        </is>
      </c>
      <c r="C1" s="14" t="inlineStr">
        <is>
          <t>Scenario</t>
        </is>
      </c>
      <c r="D1" s="14" t="inlineStr">
        <is>
          <t>Sample Payload / Values</t>
        </is>
      </c>
      <c r="E1" s="14" t="inlineStr">
        <is>
          <t>Expected Use</t>
        </is>
      </c>
      <c r="F1" s="14" t="inlineStr">
        <is>
          <t>Notes</t>
        </is>
      </c>
    </row>
    <row r="2">
      <c r="A2" s="3" t="inlineStr">
        <is>
          <t>TD-001</t>
        </is>
      </c>
      <c r="B2" s="3" t="inlineStr">
        <is>
          <t>PaaS</t>
        </is>
      </c>
      <c r="C2" s="3" t="inlineStr">
        <is>
          <t>Critical service outage</t>
        </is>
      </c>
      <c r="D2" s="3" t="inlineStr">
        <is>
          <t>service=checkout-api; env=prod-like; status=down</t>
        </is>
      </c>
      <c r="E2" s="3" t="inlineStr">
        <is>
          <t>Positive valid alert path</t>
        </is>
      </c>
      <c r="F2" s="3" t="inlineStr">
        <is>
          <t>Use controlled test service only</t>
        </is>
      </c>
    </row>
    <row r="3">
      <c r="A3" s="3" t="inlineStr">
        <is>
          <t>TD-002</t>
        </is>
      </c>
      <c r="B3" s="3" t="inlineStr">
        <is>
          <t>Datadog</t>
        </is>
      </c>
      <c r="C3" s="3" t="inlineStr">
        <is>
          <t>CPU threshold breach</t>
        </is>
      </c>
      <c r="D3" s="3" t="inlineStr">
        <is>
          <t>monitor_id=882100; metric=cpu.utilization; value=98; threshold=95</t>
        </is>
      </c>
      <c r="E3" s="3" t="inlineStr">
        <is>
          <t>Datadog ingestion and context</t>
        </is>
      </c>
      <c r="F3" s="3" t="inlineStr">
        <is>
          <t>Synthetic monitor recommended</t>
        </is>
      </c>
    </row>
    <row r="4">
      <c r="A4" s="3" t="inlineStr">
        <is>
          <t>TD-003</t>
        </is>
      </c>
      <c r="B4" s="3" t="inlineStr">
        <is>
          <t>PaaS + Datadog</t>
        </is>
      </c>
      <c r="C4" s="3" t="inlineStr">
        <is>
          <t>Same outage multi-source</t>
        </is>
      </c>
      <c r="D4" s="3" t="inlineStr">
        <is>
          <t>service=payments-api; timestamps within 5 minutes</t>
        </is>
      </c>
      <c r="E4" s="3" t="inlineStr">
        <is>
          <t>Cross-source correlation</t>
        </is>
      </c>
      <c r="F4" s="3" t="inlineStr">
        <is>
          <t>Validate one incident only</t>
        </is>
      </c>
    </row>
    <row r="5">
      <c r="A5" s="3" t="inlineStr">
        <is>
          <t>TD-004</t>
        </is>
      </c>
      <c r="B5" s="3" t="inlineStr">
        <is>
          <t>Any</t>
        </is>
      </c>
      <c r="C5" s="3" t="inlineStr">
        <is>
          <t>False positive transient spike</t>
        </is>
      </c>
      <c r="D5" s="3" t="inlineStr">
        <is>
          <t>duration=10 seconds; recovered=true</t>
        </is>
      </c>
      <c r="E5" s="3" t="inlineStr">
        <is>
          <t>Close/Ignore path</t>
        </is>
      </c>
      <c r="F5" s="3" t="inlineStr">
        <is>
          <t>Should not create active incident</t>
        </is>
      </c>
    </row>
    <row r="6">
      <c r="A6" s="3" t="inlineStr">
        <is>
          <t>TD-005</t>
        </is>
      </c>
      <c r="B6" s="3" t="inlineStr">
        <is>
          <t>Jira</t>
        </is>
      </c>
      <c r="C6" s="3" t="inlineStr">
        <is>
          <t>Duplicate ticket prevention</t>
        </is>
      </c>
      <c r="D6" s="3" t="inlineStr">
        <is>
          <t>external_id=correlation_id</t>
        </is>
      </c>
      <c r="E6" s="3" t="inlineStr">
        <is>
          <t>Jira idempotency</t>
        </is>
      </c>
      <c r="F6" s="3" t="inlineStr">
        <is>
          <t>Expected 409 or linked existing ticket</t>
        </is>
      </c>
    </row>
    <row r="7">
      <c r="A7" s="3" t="inlineStr">
        <is>
          <t>TD-006</t>
        </is>
      </c>
      <c r="B7" s="3" t="inlineStr">
        <is>
          <t>GCC</t>
        </is>
      </c>
      <c r="C7" s="3" t="inlineStr">
        <is>
          <t>Partial context response</t>
        </is>
      </c>
      <c r="D7" s="3" t="inlineStr">
        <is>
          <t>missing owner; missing impact</t>
        </is>
      </c>
      <c r="E7" s="3" t="inlineStr">
        <is>
          <t>Manual review fallback</t>
        </is>
      </c>
      <c r="F7" s="3" t="inlineStr">
        <is>
          <t>Supports missing data validation</t>
        </is>
      </c>
    </row>
    <row r="8">
      <c r="A8" s="3" t="inlineStr">
        <is>
          <t>TD-007</t>
        </is>
      </c>
      <c r="B8" s="3" t="inlineStr">
        <is>
          <t>API</t>
        </is>
      </c>
      <c r="C8" s="3" t="inlineStr">
        <is>
          <t>Rate limit</t>
        </is>
      </c>
      <c r="D8" s="3" t="inlineStr">
        <is>
          <t>HTTP 429; Retry-After=120</t>
        </is>
      </c>
      <c r="E8" s="3" t="inlineStr">
        <is>
          <t>API retry policy</t>
        </is>
      </c>
      <c r="F8" s="3" t="inlineStr">
        <is>
          <t>Do not exceed real vendor limits</t>
        </is>
      </c>
    </row>
    <row r="9">
      <c r="A9" s="3" t="inlineStr">
        <is>
          <t>TD-008</t>
        </is>
      </c>
      <c r="B9" s="3" t="inlineStr">
        <is>
          <t>Security</t>
        </is>
      </c>
      <c r="C9" s="3" t="inlineStr">
        <is>
          <t>Expired certificate</t>
        </is>
      </c>
      <c r="D9" s="3" t="inlineStr">
        <is>
          <t>TLS certificate expired</t>
        </is>
      </c>
      <c r="E9" s="3" t="inlineStr">
        <is>
          <t>Secure API failure</t>
        </is>
      </c>
      <c r="F9" s="3" t="inlineStr">
        <is>
          <t>No insecure bypass</t>
        </is>
      </c>
    </row>
    <row r="10">
      <c r="A10" s="3" t="inlineStr">
        <is>
          <t>TD-009</t>
        </is>
      </c>
      <c r="B10" s="3" t="inlineStr">
        <is>
          <t>Performance</t>
        </is>
      </c>
      <c r="C10" s="3" t="inlineStr">
        <is>
          <t>Alert storm</t>
        </is>
      </c>
      <c r="D10" s="3" t="inlineStr">
        <is>
          <t>10,000 synthetic alerts</t>
        </is>
      </c>
      <c r="E10" s="3" t="inlineStr">
        <is>
          <t>Scalability and queue behavior</t>
        </is>
      </c>
      <c r="F10" s="3" t="inlineStr">
        <is>
          <t>Run in performance environment</t>
        </is>
      </c>
    </row>
    <row r="11">
      <c r="A11" s="3" t="inlineStr">
        <is>
          <t>TD-010</t>
        </is>
      </c>
      <c r="B11" s="3" t="inlineStr">
        <is>
          <t>Time</t>
        </is>
      </c>
      <c r="C11" s="3" t="inlineStr">
        <is>
          <t>Out-of-order events</t>
        </is>
      </c>
      <c r="D11" s="3" t="inlineStr">
        <is>
          <t>recovery before active alert</t>
        </is>
      </c>
      <c r="E11" s="3" t="inlineStr">
        <is>
          <t>Event sequencing</t>
        </is>
      </c>
      <c r="F11" s="3" t="inlineStr">
        <is>
          <t>Validate timeline logic</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30" customWidth="1" min="1" max="1"/>
    <col width="50" customWidth="1" min="2" max="2"/>
    <col width="40" customWidth="1" min="3" max="3"/>
    <col width="55" customWidth="1" min="4" max="4"/>
  </cols>
  <sheetData>
    <row r="1">
      <c r="A1" s="14" t="inlineStr">
        <is>
          <t>Workflow Area</t>
        </is>
      </c>
      <c r="B1" s="14" t="inlineStr">
        <is>
          <t>Requirement / Control Objective</t>
        </is>
      </c>
      <c r="C1" s="14" t="inlineStr">
        <is>
          <t>Related Test Case IDs</t>
        </is>
      </c>
      <c r="D1" s="14" t="inlineStr">
        <is>
          <t>Coverage Notes</t>
        </is>
      </c>
    </row>
    <row r="2">
      <c r="A2" s="3" t="inlineStr">
        <is>
          <t>Data Monitoring - PaaS</t>
        </is>
      </c>
      <c r="B2" s="3" t="inlineStr">
        <is>
          <t>Validate PaaS alerts are ingested and validated</t>
        </is>
      </c>
      <c r="C2" s="3" t="inlineStr">
        <is>
          <t>AW-001, AW-009, AW-061, AW-062</t>
        </is>
      </c>
      <c r="D2" s="3" t="inlineStr">
        <is>
          <t>Covers source availability, lookup failure, and context enrichment</t>
        </is>
      </c>
    </row>
    <row r="3">
      <c r="A3" s="3" t="inlineStr">
        <is>
          <t>Data Monitoring - Datadog</t>
        </is>
      </c>
      <c r="B3" s="3" t="inlineStr">
        <is>
          <t>Validate Datadog alert ingestion and context retrieval</t>
        </is>
      </c>
      <c r="C3" s="3" t="inlineStr">
        <is>
          <t>AW-002, AW-010, AW-056 to AW-060</t>
        </is>
      </c>
      <c r="D3" s="3" t="inlineStr">
        <is>
          <t>Covers normal path and API failures</t>
        </is>
      </c>
    </row>
    <row r="4">
      <c r="A4" s="3" t="inlineStr">
        <is>
          <t>Alerts Correlation &amp; Summary</t>
        </is>
      </c>
      <c r="B4" s="3" t="inlineStr">
        <is>
          <t>Group duplicates and related alerts into accurate summaries</t>
        </is>
      </c>
      <c r="C4" s="3" t="inlineStr">
        <is>
          <t>AW-003, AW-004, AW-005, AW-023 to AW-026, AW-048</t>
        </is>
      </c>
      <c r="D4" s="3" t="inlineStr">
        <is>
          <t>Includes false correlation and timeout scenarios</t>
        </is>
      </c>
    </row>
    <row r="5">
      <c r="A5" s="3" t="inlineStr">
        <is>
          <t>Alert Triage &amp; Auto-De-escalation</t>
        </is>
      </c>
      <c r="B5" s="3" t="inlineStr">
        <is>
          <t>Classify valid/invalid alerts and de-escalate noise</t>
        </is>
      </c>
      <c r="C5" s="3" t="inlineStr">
        <is>
          <t>AW-006, AW-007, AW-008, AW-019, AW-055</t>
        </is>
      </c>
      <c r="D5" s="3" t="inlineStr">
        <is>
          <t>Includes human-in-the-loop override</t>
        </is>
      </c>
    </row>
    <row r="6">
      <c r="A6" s="3" t="inlineStr">
        <is>
          <t>Decision: Valid Issue / Valid Alert</t>
        </is>
      </c>
      <c r="B6" s="3" t="inlineStr">
        <is>
          <t>Route valid alerts to GCC and invalid alerts to Close/Ignore</t>
        </is>
      </c>
      <c r="C6" s="3" t="inlineStr">
        <is>
          <t>AW-006, AW-007, AW-018</t>
        </is>
      </c>
      <c r="D6" s="3" t="inlineStr">
        <is>
          <t>Decision path coverage</t>
        </is>
      </c>
    </row>
    <row r="7">
      <c r="A7" s="3" t="inlineStr">
        <is>
          <t>GCC Context Gathering</t>
        </is>
      </c>
      <c r="B7" s="3" t="inlineStr">
        <is>
          <t>Retrieve enough context for Jira creation</t>
        </is>
      </c>
      <c r="C7" s="3" t="inlineStr">
        <is>
          <t>AW-009, AW-010, AW-031, AW-063, AW-064</t>
        </is>
      </c>
      <c r="D7" s="3" t="inlineStr">
        <is>
          <t>Covers missing, empty, and partial context</t>
        </is>
      </c>
    </row>
    <row r="8">
      <c r="A8" s="3" t="inlineStr">
        <is>
          <t>Jira Ticket Classification</t>
        </is>
      </c>
      <c r="B8" s="3" t="inlineStr">
        <is>
          <t>Create correct Jira incident/ticket type</t>
        </is>
      </c>
      <c r="C8" s="3" t="inlineStr">
        <is>
          <t>AW-011 to AW-017, AW-032, AW-065 to AW-069</t>
        </is>
      </c>
      <c r="D8" s="3" t="inlineStr">
        <is>
          <t>Covers all listed Jira types and API failures</t>
        </is>
      </c>
    </row>
    <row r="9">
      <c r="A9" s="3" t="inlineStr">
        <is>
          <t>Notification Integrations</t>
        </is>
      </c>
      <c r="B9" s="3" t="inlineStr">
        <is>
          <t>Handle DingTalk, GChat, and Viber notification failures</t>
        </is>
      </c>
      <c r="C9" s="3" t="inlineStr">
        <is>
          <t>AW-072, AW-073, AW-074</t>
        </is>
      </c>
      <c r="D9" s="3" t="inlineStr">
        <is>
          <t>Communication channel resilience</t>
        </is>
      </c>
    </row>
    <row r="10">
      <c r="A10" s="3" t="inlineStr">
        <is>
          <t>Resilience and Recovery</t>
        </is>
      </c>
      <c r="B10" s="3" t="inlineStr">
        <is>
          <t>Preserve state during outages, storms, and recovery</t>
        </is>
      </c>
      <c r="C10" s="3" t="inlineStr">
        <is>
          <t>AW-036, AW-046, AW-077, AW-078, AW-080</t>
        </is>
      </c>
      <c r="D10" s="3" t="inlineStr">
        <is>
          <t>Operational reliability</t>
        </is>
      </c>
    </row>
    <row r="11">
      <c r="A11" s="3" t="inlineStr">
        <is>
          <t>Security and Access</t>
        </is>
      </c>
      <c r="B11" s="3" t="inlineStr">
        <is>
          <t>Handle auth, permission, and TLS failures securely</t>
        </is>
      </c>
      <c r="C11" s="3" t="inlineStr">
        <is>
          <t>AW-058, AW-059, AW-068, AW-079</t>
        </is>
      </c>
      <c r="D11" s="3" t="inlineStr">
        <is>
          <t>No insecure fallback expected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60" customWidth="1" min="3" max="3"/>
    <col width="34" customWidth="1" min="4" max="4"/>
    <col width="18" customWidth="1" min="5" max="5"/>
  </cols>
  <sheetData>
    <row r="1">
      <c r="A1" s="14" t="inlineStr">
        <is>
          <t>Integration</t>
        </is>
      </c>
      <c r="B1" s="14" t="inlineStr">
        <is>
          <t>Failure Mode</t>
        </is>
      </c>
      <c r="C1" s="14" t="inlineStr">
        <is>
          <t>Expected Handling</t>
        </is>
      </c>
      <c r="D1" s="14" t="inlineStr">
        <is>
          <t>Related Test Case IDs</t>
        </is>
      </c>
      <c r="E1" s="14" t="inlineStr">
        <is>
          <t>Priority</t>
        </is>
      </c>
    </row>
    <row r="2">
      <c r="A2" s="3" t="inlineStr">
        <is>
          <t>Datadog</t>
        </is>
      </c>
      <c r="B2" s="3" t="inlineStr">
        <is>
          <t>500 / timeout / auth / permission / malformed JSON</t>
        </is>
      </c>
      <c r="C2" s="3" t="inlineStr">
        <is>
          <t>Retry where applicable, log error, preserve alert, notify support for auth/permission</t>
        </is>
      </c>
      <c r="D2" s="3" t="inlineStr">
        <is>
          <t>AW-056 to AW-060</t>
        </is>
      </c>
      <c r="E2" s="3" t="inlineStr">
        <is>
          <t>Critical/High</t>
        </is>
      </c>
    </row>
    <row r="3">
      <c r="A3" s="3" t="inlineStr">
        <is>
          <t>PaaS</t>
        </is>
      </c>
      <c r="B3" s="3" t="inlineStr">
        <is>
          <t>Unavailable / service lookup failure</t>
        </is>
      </c>
      <c r="C3" s="3" t="inlineStr">
        <is>
          <t>Retry, preserve state, fallback manual triage for unknown service</t>
        </is>
      </c>
      <c r="D3" s="3" t="inlineStr">
        <is>
          <t>AW-061, AW-062</t>
        </is>
      </c>
      <c r="E3" s="3" t="inlineStr">
        <is>
          <t>Critical/High</t>
        </is>
      </c>
    </row>
    <row r="4">
      <c r="A4" s="3" t="inlineStr">
        <is>
          <t>GCC</t>
        </is>
      </c>
      <c r="B4" s="3" t="inlineStr">
        <is>
          <t>Empty or partial context</t>
        </is>
      </c>
      <c r="C4" s="3" t="inlineStr">
        <is>
          <t>Flag missing context, retry or manual review, do not lose alert</t>
        </is>
      </c>
      <c r="D4" s="3" t="inlineStr">
        <is>
          <t>AW-063, AW-064</t>
        </is>
      </c>
      <c r="E4" s="3" t="inlineStr">
        <is>
          <t>High</t>
        </is>
      </c>
    </row>
    <row r="5">
      <c r="A5" s="3" t="inlineStr">
        <is>
          <t>Jira</t>
        </is>
      </c>
      <c r="B5" s="3" t="inlineStr">
        <is>
          <t>503 / timeout / duplicate conflict / auth / rate limit</t>
        </is>
      </c>
      <c r="C5" s="3" t="inlineStr">
        <is>
          <t>Queue requests, retry idempotently, link existing tickets, respect cooldown</t>
        </is>
      </c>
      <c r="D5" s="3" t="inlineStr">
        <is>
          <t>AW-065 to AW-069</t>
        </is>
      </c>
      <c r="E5" s="3" t="inlineStr">
        <is>
          <t>Critical/High</t>
        </is>
      </c>
    </row>
    <row r="6">
      <c r="A6" s="3" t="inlineStr">
        <is>
          <t>Alert Correlation</t>
        </is>
      </c>
      <c r="B6" s="3" t="inlineStr">
        <is>
          <t>Unavailable / corrupted mapping</t>
        </is>
      </c>
      <c r="C6" s="3" t="inlineStr">
        <is>
          <t>Queue or manual review, validate mapping before Jira creation</t>
        </is>
      </c>
      <c r="D6" s="3" t="inlineStr">
        <is>
          <t>AW-070, AW-071</t>
        </is>
      </c>
      <c r="E6" s="3" t="inlineStr">
        <is>
          <t>Critical/High</t>
        </is>
      </c>
    </row>
    <row r="7">
      <c r="A7" s="3" t="inlineStr">
        <is>
          <t>Notification APIs</t>
        </is>
      </c>
      <c r="B7" s="3" t="inlineStr">
        <is>
          <t>DingTalk / GChat / Viber failure</t>
        </is>
      </c>
      <c r="C7" s="3" t="inlineStr">
        <is>
          <t>Continue core alert flow, retry or use alternate channel</t>
        </is>
      </c>
      <c r="D7" s="3" t="inlineStr">
        <is>
          <t>AW-072 to AW-074</t>
        </is>
      </c>
      <c r="E7" s="3" t="inlineStr">
        <is>
          <t>High/Medium</t>
        </is>
      </c>
    </row>
    <row r="8">
      <c r="A8" s="3" t="inlineStr">
        <is>
          <t>General APIs</t>
        </is>
      </c>
      <c r="B8" s="3" t="inlineStr">
        <is>
          <t>Stale data / oversized payload / multi-API failures / intermittent failures / TLS / recovery</t>
        </is>
      </c>
      <c r="C8" s="3" t="inlineStr">
        <is>
          <t>Freshness validation, safe payload handling, degraded mode, circuit breaker, secure rejection, backlog drain</t>
        </is>
      </c>
      <c r="D8" s="3" t="inlineStr">
        <is>
          <t>AW-075 to AW-080</t>
        </is>
      </c>
      <c r="E8" s="3" t="inlineStr">
        <is>
          <t>Critical/High</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16"/>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36" customWidth="1" min="3" max="3"/>
    <col width="14" customWidth="1" min="4" max="4"/>
    <col width="16" customWidth="1" min="5" max="5"/>
    <col width="50" customWidth="1" min="6" max="6"/>
    <col width="45" customWidth="1" min="7" max="7"/>
    <col width="45" customWidth="1" min="8" max="8"/>
    <col width="20" customWidth="1" min="9" max="9"/>
    <col width="18" customWidth="1" min="10" max="10"/>
    <col width="35" customWidth="1" min="11" max="11"/>
  </cols>
  <sheetData>
    <row r="1">
      <c r="A1" s="15" t="inlineStr">
        <is>
          <t>Defect ID</t>
        </is>
      </c>
      <c r="B1" s="15" t="inlineStr">
        <is>
          <t>Linked Test Case ID</t>
        </is>
      </c>
      <c r="C1" s="15" t="inlineStr">
        <is>
          <t>Title</t>
        </is>
      </c>
      <c r="D1" s="15" t="inlineStr">
        <is>
          <t>Severity</t>
        </is>
      </c>
      <c r="E1" s="15" t="inlineStr">
        <is>
          <t>Status</t>
        </is>
      </c>
      <c r="F1" s="15" t="inlineStr">
        <is>
          <t>Steps to Reproduce</t>
        </is>
      </c>
      <c r="G1" s="15" t="inlineStr">
        <is>
          <t>Expected Result</t>
        </is>
      </c>
      <c r="H1" s="15" t="inlineStr">
        <is>
          <t>Actual Result</t>
        </is>
      </c>
      <c r="I1" s="15" t="inlineStr">
        <is>
          <t>Owner</t>
        </is>
      </c>
      <c r="J1" s="15" t="inlineStr">
        <is>
          <t>Target Fix Date</t>
        </is>
      </c>
      <c r="K1" s="15" t="inlineStr">
        <is>
          <t>Comments</t>
        </is>
      </c>
    </row>
    <row r="2">
      <c r="A2" s="3" t="inlineStr">
        <is>
          <t>DEF-001</t>
        </is>
      </c>
      <c r="B2" s="3" t="inlineStr"/>
      <c r="C2" s="3" t="inlineStr"/>
      <c r="D2" s="3" t="inlineStr"/>
      <c r="E2" s="3" t="inlineStr">
        <is>
          <t>New</t>
        </is>
      </c>
      <c r="F2" s="3" t="inlineStr"/>
      <c r="G2" s="3" t="inlineStr"/>
      <c r="H2" s="3" t="inlineStr"/>
      <c r="I2" s="3" t="inlineStr"/>
      <c r="J2" s="3" t="inlineStr"/>
      <c r="K2" s="3" t="inlineStr"/>
    </row>
    <row r="3">
      <c r="A3" s="3" t="inlineStr">
        <is>
          <t>DEF-002</t>
        </is>
      </c>
      <c r="B3" s="3" t="inlineStr"/>
      <c r="C3" s="3" t="inlineStr"/>
      <c r="D3" s="3" t="inlineStr"/>
      <c r="E3" s="3" t="inlineStr">
        <is>
          <t>New</t>
        </is>
      </c>
      <c r="F3" s="3" t="inlineStr"/>
      <c r="G3" s="3" t="inlineStr"/>
      <c r="H3" s="3" t="inlineStr"/>
      <c r="I3" s="3" t="inlineStr"/>
      <c r="J3" s="3" t="inlineStr"/>
      <c r="K3" s="3" t="inlineStr"/>
    </row>
    <row r="4">
      <c r="A4" s="3" t="inlineStr">
        <is>
          <t>DEF-003</t>
        </is>
      </c>
      <c r="B4" s="3" t="inlineStr"/>
      <c r="C4" s="3" t="inlineStr"/>
      <c r="D4" s="3" t="inlineStr"/>
      <c r="E4" s="3" t="inlineStr">
        <is>
          <t>New</t>
        </is>
      </c>
      <c r="F4" s="3" t="inlineStr"/>
      <c r="G4" s="3" t="inlineStr"/>
      <c r="H4" s="3" t="inlineStr"/>
      <c r="I4" s="3" t="inlineStr"/>
      <c r="J4" s="3" t="inlineStr"/>
      <c r="K4" s="3" t="inlineStr"/>
    </row>
    <row r="5">
      <c r="A5" s="3" t="inlineStr">
        <is>
          <t>DEF-004</t>
        </is>
      </c>
      <c r="B5" s="3" t="inlineStr"/>
      <c r="C5" s="3" t="inlineStr"/>
      <c r="D5" s="3" t="inlineStr"/>
      <c r="E5" s="3" t="inlineStr">
        <is>
          <t>New</t>
        </is>
      </c>
      <c r="F5" s="3" t="inlineStr"/>
      <c r="G5" s="3" t="inlineStr"/>
      <c r="H5" s="3" t="inlineStr"/>
      <c r="I5" s="3" t="inlineStr"/>
      <c r="J5" s="3" t="inlineStr"/>
      <c r="K5" s="3" t="inlineStr"/>
    </row>
    <row r="6">
      <c r="A6" s="3" t="inlineStr">
        <is>
          <t>DEF-005</t>
        </is>
      </c>
      <c r="B6" s="3" t="inlineStr"/>
      <c r="C6" s="3" t="inlineStr"/>
      <c r="D6" s="3" t="inlineStr"/>
      <c r="E6" s="3" t="inlineStr">
        <is>
          <t>New</t>
        </is>
      </c>
      <c r="F6" s="3" t="inlineStr"/>
      <c r="G6" s="3" t="inlineStr"/>
      <c r="H6" s="3" t="inlineStr"/>
      <c r="I6" s="3" t="inlineStr"/>
      <c r="J6" s="3" t="inlineStr"/>
      <c r="K6" s="3" t="inlineStr"/>
    </row>
    <row r="7">
      <c r="A7" s="3" t="inlineStr">
        <is>
          <t>DEF-006</t>
        </is>
      </c>
      <c r="B7" s="3" t="inlineStr"/>
      <c r="C7" s="3" t="inlineStr"/>
      <c r="D7" s="3" t="inlineStr"/>
      <c r="E7" s="3" t="inlineStr">
        <is>
          <t>New</t>
        </is>
      </c>
      <c r="F7" s="3" t="inlineStr"/>
      <c r="G7" s="3" t="inlineStr"/>
      <c r="H7" s="3" t="inlineStr"/>
      <c r="I7" s="3" t="inlineStr"/>
      <c r="J7" s="3" t="inlineStr"/>
      <c r="K7" s="3" t="inlineStr"/>
    </row>
    <row r="8">
      <c r="A8" s="3" t="inlineStr">
        <is>
          <t>DEF-007</t>
        </is>
      </c>
      <c r="B8" s="3" t="inlineStr"/>
      <c r="C8" s="3" t="inlineStr"/>
      <c r="D8" s="3" t="inlineStr"/>
      <c r="E8" s="3" t="inlineStr">
        <is>
          <t>New</t>
        </is>
      </c>
      <c r="F8" s="3" t="inlineStr"/>
      <c r="G8" s="3" t="inlineStr"/>
      <c r="H8" s="3" t="inlineStr"/>
      <c r="I8" s="3" t="inlineStr"/>
      <c r="J8" s="3" t="inlineStr"/>
      <c r="K8" s="3" t="inlineStr"/>
    </row>
    <row r="9">
      <c r="A9" s="3" t="inlineStr">
        <is>
          <t>DEF-008</t>
        </is>
      </c>
      <c r="B9" s="3" t="inlineStr"/>
      <c r="C9" s="3" t="inlineStr"/>
      <c r="D9" s="3" t="inlineStr"/>
      <c r="E9" s="3" t="inlineStr">
        <is>
          <t>New</t>
        </is>
      </c>
      <c r="F9" s="3" t="inlineStr"/>
      <c r="G9" s="3" t="inlineStr"/>
      <c r="H9" s="3" t="inlineStr"/>
      <c r="I9" s="3" t="inlineStr"/>
      <c r="J9" s="3" t="inlineStr"/>
      <c r="K9" s="3" t="inlineStr"/>
    </row>
    <row r="10">
      <c r="A10" s="3" t="inlineStr">
        <is>
          <t>DEF-009</t>
        </is>
      </c>
      <c r="B10" s="3" t="inlineStr"/>
      <c r="C10" s="3" t="inlineStr"/>
      <c r="D10" s="3" t="inlineStr"/>
      <c r="E10" s="3" t="inlineStr">
        <is>
          <t>New</t>
        </is>
      </c>
      <c r="F10" s="3" t="inlineStr"/>
      <c r="G10" s="3" t="inlineStr"/>
      <c r="H10" s="3" t="inlineStr"/>
      <c r="I10" s="3" t="inlineStr"/>
      <c r="J10" s="3" t="inlineStr"/>
      <c r="K10" s="3" t="inlineStr"/>
    </row>
    <row r="11">
      <c r="A11" s="3" t="inlineStr">
        <is>
          <t>DEF-010</t>
        </is>
      </c>
      <c r="B11" s="3" t="inlineStr"/>
      <c r="C11" s="3" t="inlineStr"/>
      <c r="D11" s="3" t="inlineStr"/>
      <c r="E11" s="3" t="inlineStr">
        <is>
          <t>New</t>
        </is>
      </c>
      <c r="F11" s="3" t="inlineStr"/>
      <c r="G11" s="3" t="inlineStr"/>
      <c r="H11" s="3" t="inlineStr"/>
      <c r="I11" s="3" t="inlineStr"/>
      <c r="J11" s="3" t="inlineStr"/>
      <c r="K11" s="3" t="inlineStr"/>
    </row>
    <row r="12">
      <c r="A12" s="3" t="inlineStr">
        <is>
          <t>DEF-011</t>
        </is>
      </c>
      <c r="B12" s="3" t="inlineStr"/>
      <c r="C12" s="3" t="inlineStr"/>
      <c r="D12" s="3" t="inlineStr"/>
      <c r="E12" s="3" t="inlineStr">
        <is>
          <t>New</t>
        </is>
      </c>
      <c r="F12" s="3" t="inlineStr"/>
      <c r="G12" s="3" t="inlineStr"/>
      <c r="H12" s="3" t="inlineStr"/>
      <c r="I12" s="3" t="inlineStr"/>
      <c r="J12" s="3" t="inlineStr"/>
      <c r="K12" s="3" t="inlineStr"/>
    </row>
    <row r="13">
      <c r="A13" s="3" t="inlineStr">
        <is>
          <t>DEF-012</t>
        </is>
      </c>
      <c r="B13" s="3" t="inlineStr"/>
      <c r="C13" s="3" t="inlineStr"/>
      <c r="D13" s="3" t="inlineStr"/>
      <c r="E13" s="3" t="inlineStr">
        <is>
          <t>New</t>
        </is>
      </c>
      <c r="F13" s="3" t="inlineStr"/>
      <c r="G13" s="3" t="inlineStr"/>
      <c r="H13" s="3" t="inlineStr"/>
      <c r="I13" s="3" t="inlineStr"/>
      <c r="J13" s="3" t="inlineStr"/>
      <c r="K13" s="3" t="inlineStr"/>
    </row>
    <row r="14">
      <c r="A14" s="3" t="inlineStr">
        <is>
          <t>DEF-013</t>
        </is>
      </c>
      <c r="B14" s="3" t="inlineStr"/>
      <c r="C14" s="3" t="inlineStr"/>
      <c r="D14" s="3" t="inlineStr"/>
      <c r="E14" s="3" t="inlineStr">
        <is>
          <t>New</t>
        </is>
      </c>
      <c r="F14" s="3" t="inlineStr"/>
      <c r="G14" s="3" t="inlineStr"/>
      <c r="H14" s="3" t="inlineStr"/>
      <c r="I14" s="3" t="inlineStr"/>
      <c r="J14" s="3" t="inlineStr"/>
      <c r="K14" s="3" t="inlineStr"/>
    </row>
    <row r="15">
      <c r="A15" s="3" t="inlineStr">
        <is>
          <t>DEF-014</t>
        </is>
      </c>
      <c r="B15" s="3" t="inlineStr"/>
      <c r="C15" s="3" t="inlineStr"/>
      <c r="D15" s="3" t="inlineStr"/>
      <c r="E15" s="3" t="inlineStr">
        <is>
          <t>New</t>
        </is>
      </c>
      <c r="F15" s="3" t="inlineStr"/>
      <c r="G15" s="3" t="inlineStr"/>
      <c r="H15" s="3" t="inlineStr"/>
      <c r="I15" s="3" t="inlineStr"/>
      <c r="J15" s="3" t="inlineStr"/>
      <c r="K15" s="3" t="inlineStr"/>
    </row>
    <row r="16">
      <c r="A16" s="3" t="inlineStr">
        <is>
          <t>DEF-015</t>
        </is>
      </c>
      <c r="B16" s="3" t="inlineStr"/>
      <c r="C16" s="3" t="inlineStr"/>
      <c r="D16" s="3" t="inlineStr"/>
      <c r="E16" s="3" t="inlineStr">
        <is>
          <t>New</t>
        </is>
      </c>
      <c r="F16" s="3" t="inlineStr"/>
      <c r="G16" s="3" t="inlineStr"/>
      <c r="H16" s="3" t="inlineStr"/>
      <c r="I16" s="3" t="inlineStr"/>
      <c r="J16" s="3" t="inlineStr"/>
      <c r="K16" s="3" t="inlineStr"/>
    </row>
  </sheetData>
  <dataValidations count="2">
    <dataValidation sqref="D2:D16" showDropDown="0" showInputMessage="0" showErrorMessage="0" allowBlank="1" type="list">
      <formula1>"Critical,High,Medium,Low"</formula1>
    </dataValidation>
    <dataValidation sqref="E2:E16" showDropDown="0" showInputMessage="0" showErrorMessage="0" allowBlank="1" type="list">
      <formula1>"New,Open,In Progress,Fixed,Retest,Closed,Rejected,Deferred"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M365 Copilot</dc:creator>
  <dcterms:created xsi:type="dcterms:W3CDTF">2026-07-16T03:03:25.8561930Z</dcterms:created>
  <dcterms:modified xsi:type="dcterms:W3CDTF">2026-07-16T03:03:25.8561930Z</dcterms:modified>
  <lastModifiedBy>M365 Copilot</lastModifiedBy>
</coreProperties>
</file>